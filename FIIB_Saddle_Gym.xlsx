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omdeepchaudhary27gmail.com/Documents/SOM/"/>
    </mc:Choice>
  </mc:AlternateContent>
  <xr:revisionPtr revIDLastSave="0" documentId="8_{6A718F1F-DB5A-2642-BD4A-1FD704DBF0DF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tudent Raw Data" sheetId="1" r:id="rId1"/>
    <sheet name="Trainer Raw Data" sheetId="2" r:id="rId2"/>
    <sheet name="Student Coded" sheetId="3" r:id="rId3"/>
    <sheet name="Trainer Coded" sheetId="4" r:id="rId4"/>
    <sheet name="Item Analysis" sheetId="5" r:id="rId5"/>
    <sheet name="Dimension Analysis" sheetId="6" r:id="rId6"/>
    <sheet name="Overall Results" sheetId="7" r:id="rId7"/>
    <sheet name="Student Profile" sheetId="8" r:id="rId8"/>
    <sheet name="Overall Experience" sheetId="9" r:id="rId9"/>
    <sheet name="Trainer Qualitative" sheetId="10" r:id="rId10"/>
    <sheet name="Key Findings" sheetId="11" r:id="rId11"/>
    <sheet name="Formula Guide" sheetId="12" r:id="rId12"/>
  </sheets>
  <definedNames>
    <definedName name="_xlnm._FilterDatabase" localSheetId="5" hidden="1">'Dimension Analysis'!$A$1:$F$6</definedName>
    <definedName name="_xlnm._FilterDatabase" localSheetId="4" hidden="1">'Item Analysis'!$A$1:$I$21</definedName>
    <definedName name="_xlnm._FilterDatabase" localSheetId="10" hidden="1">'Key Findings'!$A$1:$B$7</definedName>
    <definedName name="_xlnm._FilterDatabase" localSheetId="8" hidden="1">'Overall Experience'!$A$1:$C$16</definedName>
    <definedName name="_xlnm._FilterDatabase" localSheetId="6" hidden="1">'Overall Results'!$A$1:$B$7</definedName>
    <definedName name="_xlnm._FilterDatabase" localSheetId="2" hidden="1">'Student Coded'!$A$1:$AF$22</definedName>
    <definedName name="_xlnm._FilterDatabase" localSheetId="7" hidden="1">'Student Profile'!$A$1:$C$16</definedName>
    <definedName name="_xlnm._FilterDatabase" localSheetId="0" hidden="1">'Student Raw Data'!$A$1:$AF$22</definedName>
    <definedName name="_xlnm._FilterDatabase" localSheetId="3" hidden="1">'Trainer Coded'!$A$1:$AC$2</definedName>
    <definedName name="_xlnm._FilterDatabase" localSheetId="9" hidden="1">'Trainer Qualitative'!$A$1:$B$5</definedName>
    <definedName name="_xlnm._FilterDatabase" localSheetId="1" hidden="1">'Trainer Raw Data'!$A$1:$AC$2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" i="5" l="1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F3" i="6"/>
  <c r="F4" i="6"/>
  <c r="F5" i="6"/>
  <c r="F6" i="6"/>
  <c r="F2" i="6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C2" i="9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B6" i="7"/>
  <c r="B5" i="7"/>
  <c r="E20" i="5"/>
  <c r="E15" i="5"/>
  <c r="E12" i="5"/>
  <c r="E10" i="5"/>
  <c r="E5" i="5"/>
  <c r="E2" i="5"/>
  <c r="AC2" i="4"/>
  <c r="AB2" i="4"/>
  <c r="AA2" i="4"/>
  <c r="Z2" i="4"/>
  <c r="Y2" i="4"/>
  <c r="X2" i="4"/>
  <c r="W2" i="4"/>
  <c r="E21" i="5" s="1"/>
  <c r="V2" i="4"/>
  <c r="U2" i="4"/>
  <c r="E19" i="5" s="1"/>
  <c r="T2" i="4"/>
  <c r="E18" i="5" s="1"/>
  <c r="S2" i="4"/>
  <c r="E17" i="5" s="1"/>
  <c r="R2" i="4"/>
  <c r="E16" i="5" s="1"/>
  <c r="Q2" i="4"/>
  <c r="P2" i="4"/>
  <c r="E14" i="5" s="1"/>
  <c r="O2" i="4"/>
  <c r="E13" i="5" s="1"/>
  <c r="N2" i="4"/>
  <c r="M2" i="4"/>
  <c r="E11" i="5" s="1"/>
  <c r="C4" i="6" s="1"/>
  <c r="L2" i="4"/>
  <c r="K2" i="4"/>
  <c r="E9" i="5" s="1"/>
  <c r="J2" i="4"/>
  <c r="E8" i="5" s="1"/>
  <c r="I2" i="4"/>
  <c r="E7" i="5" s="1"/>
  <c r="C3" i="6" s="1"/>
  <c r="H2" i="4"/>
  <c r="E6" i="5" s="1"/>
  <c r="G2" i="4"/>
  <c r="F2" i="4"/>
  <c r="E4" i="5" s="1"/>
  <c r="E2" i="4"/>
  <c r="E3" i="5" s="1"/>
  <c r="D2" i="4"/>
  <c r="C2" i="4"/>
  <c r="B2" i="4"/>
  <c r="A2" i="4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A22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A21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A19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A18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A17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A16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A15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A14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A13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A11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A9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A8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A7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A6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A5" i="3"/>
  <c r="AF4" i="3"/>
  <c r="AE4" i="3"/>
  <c r="AD4" i="3"/>
  <c r="AC4" i="3"/>
  <c r="AB4" i="3"/>
  <c r="AA4" i="3"/>
  <c r="Z4" i="3"/>
  <c r="Y4" i="3"/>
  <c r="X4" i="3"/>
  <c r="H19" i="5" s="1"/>
  <c r="W4" i="3"/>
  <c r="V4" i="3"/>
  <c r="U4" i="3"/>
  <c r="T4" i="3"/>
  <c r="S4" i="3"/>
  <c r="R4" i="3"/>
  <c r="Q4" i="3"/>
  <c r="D12" i="5" s="1"/>
  <c r="F12" i="5" s="1"/>
  <c r="G12" i="5" s="1"/>
  <c r="P4" i="3"/>
  <c r="O4" i="3"/>
  <c r="N4" i="3"/>
  <c r="H9" i="5" s="1"/>
  <c r="M4" i="3"/>
  <c r="L4" i="3"/>
  <c r="K4" i="3"/>
  <c r="J4" i="3"/>
  <c r="I4" i="3"/>
  <c r="H4" i="3"/>
  <c r="G4" i="3"/>
  <c r="D2" i="5" s="1"/>
  <c r="F4" i="3"/>
  <c r="E4" i="3"/>
  <c r="D4" i="3"/>
  <c r="C4" i="3"/>
  <c r="B4" i="3"/>
  <c r="A4" i="3"/>
  <c r="AF3" i="3"/>
  <c r="AE3" i="3"/>
  <c r="AD3" i="3"/>
  <c r="AC3" i="3"/>
  <c r="AB3" i="3"/>
  <c r="AA3" i="3"/>
  <c r="Z3" i="3"/>
  <c r="H21" i="5" s="1"/>
  <c r="Y3" i="3"/>
  <c r="X3" i="3"/>
  <c r="W3" i="3"/>
  <c r="V3" i="3"/>
  <c r="U3" i="3"/>
  <c r="T3" i="3"/>
  <c r="S3" i="3"/>
  <c r="H14" i="5" s="1"/>
  <c r="R3" i="3"/>
  <c r="Q3" i="3"/>
  <c r="P3" i="3"/>
  <c r="H11" i="5" s="1"/>
  <c r="O3" i="3"/>
  <c r="N3" i="3"/>
  <c r="M3" i="3"/>
  <c r="L3" i="3"/>
  <c r="K3" i="3"/>
  <c r="J3" i="3"/>
  <c r="I3" i="3"/>
  <c r="H4" i="5" s="1"/>
  <c r="H3" i="3"/>
  <c r="G3" i="3"/>
  <c r="F3" i="3"/>
  <c r="E3" i="3"/>
  <c r="D3" i="3"/>
  <c r="C3" i="3"/>
  <c r="B3" i="3"/>
  <c r="A3" i="3"/>
  <c r="AF2" i="3"/>
  <c r="AE2" i="3"/>
  <c r="AD2" i="3"/>
  <c r="AC2" i="3"/>
  <c r="AB2" i="3"/>
  <c r="AA2" i="3"/>
  <c r="Z2" i="3"/>
  <c r="D21" i="5" s="1"/>
  <c r="Y2" i="3"/>
  <c r="H20" i="5" s="1"/>
  <c r="X2" i="3"/>
  <c r="D19" i="5" s="1"/>
  <c r="W2" i="3"/>
  <c r="H18" i="5" s="1"/>
  <c r="V2" i="3"/>
  <c r="H17" i="5" s="1"/>
  <c r="U2" i="3"/>
  <c r="D16" i="5" s="1"/>
  <c r="F16" i="5" s="1"/>
  <c r="G16" i="5" s="1"/>
  <c r="T2" i="3"/>
  <c r="H15" i="5" s="1"/>
  <c r="S2" i="3"/>
  <c r="D14" i="5" s="1"/>
  <c r="F14" i="5" s="1"/>
  <c r="G14" i="5" s="1"/>
  <c r="R2" i="3"/>
  <c r="H13" i="5" s="1"/>
  <c r="Q2" i="3"/>
  <c r="H12" i="5" s="1"/>
  <c r="P2" i="3"/>
  <c r="D11" i="5" s="1"/>
  <c r="O2" i="3"/>
  <c r="H10" i="5" s="1"/>
  <c r="N2" i="3"/>
  <c r="D9" i="5" s="1"/>
  <c r="M2" i="3"/>
  <c r="H8" i="5" s="1"/>
  <c r="L2" i="3"/>
  <c r="H7" i="5" s="1"/>
  <c r="K2" i="3"/>
  <c r="D6" i="5" s="1"/>
  <c r="F6" i="5" s="1"/>
  <c r="G6" i="5" s="1"/>
  <c r="J2" i="3"/>
  <c r="H5" i="5" s="1"/>
  <c r="I2" i="3"/>
  <c r="D4" i="5" s="1"/>
  <c r="F4" i="5" s="1"/>
  <c r="G4" i="5" s="1"/>
  <c r="H2" i="3"/>
  <c r="H3" i="5" s="1"/>
  <c r="G2" i="3"/>
  <c r="F2" i="3"/>
  <c r="E2" i="3"/>
  <c r="D2" i="3"/>
  <c r="C2" i="3"/>
  <c r="B2" i="3"/>
  <c r="A2" i="3"/>
  <c r="F11" i="5" l="1"/>
  <c r="G11" i="5" s="1"/>
  <c r="F21" i="5"/>
  <c r="G21" i="5" s="1"/>
  <c r="C5" i="6"/>
  <c r="B3" i="7"/>
  <c r="F2" i="5"/>
  <c r="B2" i="6"/>
  <c r="C6" i="6"/>
  <c r="F9" i="5"/>
  <c r="G9" i="5" s="1"/>
  <c r="F19" i="5"/>
  <c r="G19" i="5" s="1"/>
  <c r="D3" i="5"/>
  <c r="F3" i="5" s="1"/>
  <c r="G3" i="5" s="1"/>
  <c r="D8" i="5"/>
  <c r="F8" i="5" s="1"/>
  <c r="G8" i="5" s="1"/>
  <c r="D13" i="5"/>
  <c r="F13" i="5" s="1"/>
  <c r="G13" i="5" s="1"/>
  <c r="D18" i="5"/>
  <c r="F18" i="5" s="1"/>
  <c r="G18" i="5" s="1"/>
  <c r="D5" i="5"/>
  <c r="F5" i="5" s="1"/>
  <c r="G5" i="5" s="1"/>
  <c r="H6" i="5"/>
  <c r="B7" i="7" s="1"/>
  <c r="D10" i="5"/>
  <c r="F10" i="5" s="1"/>
  <c r="G10" i="5" s="1"/>
  <c r="D15" i="5"/>
  <c r="H16" i="5"/>
  <c r="D20" i="5"/>
  <c r="F20" i="5" s="1"/>
  <c r="G20" i="5" s="1"/>
  <c r="D7" i="5"/>
  <c r="D17" i="5"/>
  <c r="F17" i="5" s="1"/>
  <c r="G17" i="5" s="1"/>
  <c r="C2" i="6"/>
  <c r="D2" i="6" l="1"/>
  <c r="B7" i="11"/>
  <c r="G2" i="5"/>
  <c r="B3" i="6"/>
  <c r="D3" i="6" s="1"/>
  <c r="E3" i="6" s="1"/>
  <c r="F7" i="5"/>
  <c r="G7" i="5" s="1"/>
  <c r="B6" i="6"/>
  <c r="D6" i="6" s="1"/>
  <c r="E6" i="6" s="1"/>
  <c r="B2" i="7"/>
  <c r="B4" i="7" s="1"/>
  <c r="B4" i="11" s="1"/>
  <c r="B5" i="6"/>
  <c r="D5" i="6" s="1"/>
  <c r="E5" i="6" s="1"/>
  <c r="F15" i="5"/>
  <c r="G15" i="5" s="1"/>
  <c r="B4" i="6"/>
  <c r="D4" i="6" s="1"/>
  <c r="E4" i="6" s="1"/>
  <c r="E2" i="6" l="1"/>
  <c r="B3" i="11"/>
  <c r="B2" i="11"/>
  <c r="B5" i="11"/>
  <c r="B6" i="11"/>
</calcChain>
</file>

<file path=xl/sharedStrings.xml><?xml version="1.0" encoding="utf-8"?>
<sst xmlns="http://schemas.openxmlformats.org/spreadsheetml/2006/main" count="925" uniqueCount="186">
  <si>
    <t>Timestamp</t>
  </si>
  <si>
    <t>Do you agree to participate in this academic survey?</t>
  </si>
  <si>
    <t>Q1- What is your current academic program?</t>
  </si>
  <si>
    <t>Q2- How frequently do you use the FIIB Saddle Gym?</t>
  </si>
  <si>
    <t>Q3- How long have you been using the FIIB Saddle Gym?</t>
  </si>
  <si>
    <t>Q4- Which gym timing do you usually prefer?</t>
  </si>
  <si>
    <t>T1- The FIIB Saddle Gym has adequate and well-maintained equipment for students.</t>
  </si>
  <si>
    <t>T2- The gym provides sufficient space for students to exercise comfortably.</t>
  </si>
  <si>
    <t>T3- The gym has a clean and hygienic environment.</t>
  </si>
  <si>
    <t>T4- The gym provides a comfortable and suitable physical environment for exercise.</t>
  </si>
  <si>
    <t>T5- The gym has a sufficient variety of equipment to meet students' fitness needs.</t>
  </si>
  <si>
    <t>R1. Gym machines and equipment are generally functioning properly when I need to use them.</t>
  </si>
  <si>
    <t>R2. The gym operates according to its stated timings and scheduled slots.</t>
  </si>
  <si>
    <t>R3. The DigiCampus booking process works reliably when I book a gym slot.</t>
  </si>
  <si>
    <t>R4. When I successfully book a gym slot, I am able to use the gym during that scheduled slot.</t>
  </si>
  <si>
    <t>RS1. The trainer is readily available when I need assistance during my workout.</t>
  </si>
  <si>
    <t>RS2. The trainer responds promptly to my questions and queries.</t>
  </si>
  <si>
    <t>RS3. I receive timely assistance when I face a problem while using the gym.</t>
  </si>
  <si>
    <t>RS4. The trainer is willing to help me with my fitness-related needs.</t>
  </si>
  <si>
    <t>A1. The trainer has sufficient knowledge about exercise, fitness and training.</t>
  </si>
  <si>
    <t>A2. The trainer provides clear and correct guidance on the use of gym equipment.</t>
  </si>
  <si>
    <t>A3. The trainer helps me perform exercises using the correct posture and technique.</t>
  </si>
  <si>
    <t>A4. I feel confident about my safety when exercising under the trainer's guidance.</t>
  </si>
  <si>
    <t>E1. The trainer understands my individual fitness goals.</t>
  </si>
  <si>
    <t>E2. The trainer provides personalized exercise guidance according to my fitness needs.</t>
  </si>
  <si>
    <t>E3. The trainer considers my individual needs when recommending exercises or workout plans.</t>
  </si>
  <si>
    <t>Q5- Overall, how satisfied are you with the FIIB Saddle Gym?</t>
  </si>
  <si>
    <t>Q6- Overall, the FIIB Saddle Gym meets my expectations as a fitness facility.</t>
  </si>
  <si>
    <t>Q7- Would you recommend the FIIB Saddle Gym to other eligible FIIB students?</t>
  </si>
  <si>
    <t>Q8- What is the biggest problem or challenge you face while using the FIIB Saddle Gym?</t>
  </si>
  <si>
    <t>Q9- What one improvement would most improve your experience at the FIIB Saddle Gym?</t>
  </si>
  <si>
    <t>Q10- Please share any additional comments or suggestions regarding the FIIB Saddle Gym.</t>
  </si>
  <si>
    <t>Yes</t>
  </si>
  <si>
    <t>PGDM</t>
  </si>
  <si>
    <t>Less than once a week</t>
  </si>
  <si>
    <t>Less than 1 month</t>
  </si>
  <si>
    <t>No specific preference</t>
  </si>
  <si>
    <t>Neutral</t>
  </si>
  <si>
    <t>Not Sure</t>
  </si>
  <si>
    <t xml:space="preserve">Issue with space </t>
  </si>
  <si>
    <t>Nothing to much</t>
  </si>
  <si>
    <t xml:space="preserve">Nothing </t>
  </si>
  <si>
    <t>PGDM-FM</t>
  </si>
  <si>
    <t>Evening</t>
  </si>
  <si>
    <t>Agree</t>
  </si>
  <si>
    <t>Strongly Agree</t>
  </si>
  <si>
    <t>Strongly agree</t>
  </si>
  <si>
    <t>Probably Yes</t>
  </si>
  <si>
    <t>It gets very crowded during peak hours, and there is often a long wait time to use popular equipment like dumbbells, benches, or cables</t>
  </si>
  <si>
    <t>Adding a few more sets of popular weights and benches would greatly improve the experience and reduce waiting</t>
  </si>
  <si>
    <t>Overall, the gym is a great facility, but managing peak-hour traffic or adding a real-time crowd tracker could help.</t>
  </si>
  <si>
    <t>4-5 times a week</t>
  </si>
  <si>
    <t>1–3 months</t>
  </si>
  <si>
    <t>Definitely Yes</t>
  </si>
  <si>
    <t>Na</t>
  </si>
  <si>
    <t>na</t>
  </si>
  <si>
    <t>Daily</t>
  </si>
  <si>
    <t>machine is not working like treadmill.</t>
  </si>
  <si>
    <t xml:space="preserve"> Repair treadmill or Replace to new.</t>
  </si>
  <si>
    <t>add more equipment.</t>
  </si>
  <si>
    <t>2-3 times a week</t>
  </si>
  <si>
    <t>Strongly disagree</t>
  </si>
  <si>
    <t xml:space="preserve">Less machines variety at the gym </t>
  </si>
  <si>
    <t xml:space="preserve">Install new machines for better experience </t>
  </si>
  <si>
    <t xml:space="preserve">There should be more exercise machines </t>
  </si>
  <si>
    <t>3–6 months</t>
  </si>
  <si>
    <t>Disagree</t>
  </si>
  <si>
    <t>Please change few machines that are just taking space.</t>
  </si>
  <si>
    <t>More than 1 year</t>
  </si>
  <si>
    <t xml:space="preserve">Very small as compared to other commercial gyms </t>
  </si>
  <si>
    <t xml:space="preserve">Add more machines </t>
  </si>
  <si>
    <t>Morning</t>
  </si>
  <si>
    <t xml:space="preserve">Equipment and space problem </t>
  </si>
  <si>
    <t xml:space="preserve">Slot bookings </t>
  </si>
  <si>
    <t>Space problem</t>
  </si>
  <si>
    <t xml:space="preserve">trademill not working properly </t>
  </si>
  <si>
    <t>Once a week</t>
  </si>
  <si>
    <t>6–12 months</t>
  </si>
  <si>
    <t>Strongly Disagree</t>
  </si>
  <si>
    <t>Definitely No</t>
  </si>
  <si>
    <t>Less equipments</t>
  </si>
  <si>
    <t xml:space="preserve">Adding more equipment’s </t>
  </si>
  <si>
    <t>No</t>
  </si>
  <si>
    <t xml:space="preserve">space </t>
  </si>
  <si>
    <t xml:space="preserve">more equipments </t>
  </si>
  <si>
    <t>Probably No</t>
  </si>
  <si>
    <t>After working out at the gym, there should be a small shower room nearby so that students can freshen up before going to class and avoid feeling or smelling sweaty.</t>
  </si>
  <si>
    <t>Q1. What is your role at the FIIB Saddle Gym?</t>
  </si>
  <si>
    <t>Q2. How long have you been providing training/services at the FIIB Saddle Gym?</t>
  </si>
  <si>
    <t>T1. The FIIB Saddle Gym has adequate and well-maintained equipment for students.</t>
  </si>
  <si>
    <t>T2. The gym provides sufficient space for students to exercise comfortably.</t>
  </si>
  <si>
    <t>T3. The gym has a clean and hygienic environment.</t>
  </si>
  <si>
    <t>T4. The gym provides a comfortable and suitable physical environment for exercise.</t>
  </si>
  <si>
    <t>T5. The gym has a sufficient variety of equipment to meet students' fitness needs.</t>
  </si>
  <si>
    <t>R1. Gym machines and equipment are generally functioning properly when students need to use them.</t>
  </si>
  <si>
    <t>R3. The DigiiCampus booking process works reliably for students booking gym slots.</t>
  </si>
  <si>
    <t>R4. Students who successfully book a gym slot are able to use the gym during their scheduled slot.</t>
  </si>
  <si>
    <t>RS1. The trainer is readily available when students need assistance during their workout.</t>
  </si>
  <si>
    <t>RS2. The trainer responds promptly to students' questions and queries.</t>
  </si>
  <si>
    <t>RS3. Students receive timely assistance when they face a problem while using the gym.</t>
  </si>
  <si>
    <t>RS4. The trainer is willing to help students with their fitness-related needs.</t>
  </si>
  <si>
    <t>A3. The trainer helps students perform exercises using the correct posture and technique.</t>
  </si>
  <si>
    <t>A4. Students can feel confident about their safety when exercising under the trainer's guidance.</t>
  </si>
  <si>
    <t>E1. The trainer understands students' individual fitness goals.</t>
  </si>
  <si>
    <t>E2. The trainer provides personalized exercise guidance according to students' fitness needs.</t>
  </si>
  <si>
    <t>E3. The trainer considers individual needs when recommending exercises or workout plans.</t>
  </si>
  <si>
    <t>Q1. Overall, how would you rate the service quality of the FIIB Saddle Gym?</t>
  </si>
  <si>
    <t>Q2. Overall, the FIIB Saddle Gym is able to meet students' fitness-related needs.
Options:</t>
  </si>
  <si>
    <t>Q1. What is the biggest challenge you face while managing the FIIB Saddle Gym?</t>
  </si>
  <si>
    <t>Q2. What challenges do you face because of the gym's space or 10-student capacity?</t>
  </si>
  <si>
    <t>Q3. Are there any recurring issues related to equipment availability or functioning?</t>
  </si>
  <si>
    <t>Q4. What improvement would most improve students' gym experience?</t>
  </si>
  <si>
    <t>Gym Trainer</t>
  </si>
  <si>
    <t>More than 2 years</t>
  </si>
  <si>
    <t xml:space="preserve">Space is less…so little challenge but manageable </t>
  </si>
  <si>
    <t>Littile challenging but… I can handle well.</t>
  </si>
  <si>
    <t xml:space="preserve">Need to add some equipments </t>
  </si>
  <si>
    <t>Item</t>
  </si>
  <si>
    <t>Dimension</t>
  </si>
  <si>
    <t>Statement</t>
  </si>
  <si>
    <t>Student Mean</t>
  </si>
  <si>
    <t>Trainer Score</t>
  </si>
  <si>
    <t>Gap (Student - Trainer)</t>
  </si>
  <si>
    <t>Absolute Gap</t>
  </si>
  <si>
    <t>Missing Student Responses</t>
  </si>
  <si>
    <t>Gap Rank</t>
  </si>
  <si>
    <t>T1</t>
  </si>
  <si>
    <t>Tangibles</t>
  </si>
  <si>
    <t>T2</t>
  </si>
  <si>
    <t>T3</t>
  </si>
  <si>
    <t>T4</t>
  </si>
  <si>
    <t>T5</t>
  </si>
  <si>
    <t>R1</t>
  </si>
  <si>
    <t>Reliability</t>
  </si>
  <si>
    <t>R2</t>
  </si>
  <si>
    <t>R3</t>
  </si>
  <si>
    <t>R4</t>
  </si>
  <si>
    <t>RS1</t>
  </si>
  <si>
    <t>Responsiveness</t>
  </si>
  <si>
    <t>RS2</t>
  </si>
  <si>
    <t>RS3</t>
  </si>
  <si>
    <t>RS4</t>
  </si>
  <si>
    <t>A1</t>
  </si>
  <si>
    <t>Assurance</t>
  </si>
  <si>
    <t>A2</t>
  </si>
  <si>
    <t>A3</t>
  </si>
  <si>
    <t>A4</t>
  </si>
  <si>
    <t>E1</t>
  </si>
  <si>
    <t>Empathy</t>
  </si>
  <si>
    <t>E2</t>
  </si>
  <si>
    <t>E3</t>
  </si>
  <si>
    <t>SERVQUAL Dimension</t>
  </si>
  <si>
    <t>Metric</t>
  </si>
  <si>
    <t>Formula / Result</t>
  </si>
  <si>
    <t>Student overall SERVQUAL mean</t>
  </si>
  <si>
    <t>Trainer overall SERVQUAL score</t>
  </si>
  <si>
    <t>Overall service gap (Student - Trainer)</t>
  </si>
  <si>
    <t>Number of student respondents</t>
  </si>
  <si>
    <t>Number of trainer respondents</t>
  </si>
  <si>
    <t>Student missing SERVQUAL cells</t>
  </si>
  <si>
    <t>Question</t>
  </si>
  <si>
    <t>Response</t>
  </si>
  <si>
    <t>Count</t>
  </si>
  <si>
    <t>Finding</t>
  </si>
  <si>
    <t>Largest dimension-level negative gap</t>
  </si>
  <si>
    <t>Smallest dimension-level gap</t>
  </si>
  <si>
    <t>Overall SERVQUAL gap</t>
  </si>
  <si>
    <t>Highest student-rated dimension</t>
  </si>
  <si>
    <t>Lowest student-rated dimension</t>
  </si>
  <si>
    <t>Largest item-level negative gap</t>
  </si>
  <si>
    <t>Purpose</t>
  </si>
  <si>
    <t>Phase 6 SERVQUAL analysis for FIIB Saddle Gym</t>
  </si>
  <si>
    <t>Likert coding</t>
  </si>
  <si>
    <t>Strongly Disagree=1; Disagree=2; Neutral=3; Agree=4; Strongly Agree=5</t>
  </si>
  <si>
    <t>Item student mean</t>
  </si>
  <si>
    <t>AVERAGE of the 21 coded student responses for that SERVQUAL item</t>
  </si>
  <si>
    <t>Trainer score</t>
  </si>
  <si>
    <t>AVERAGE of the trainer's coded response(s); n=1 in this study</t>
  </si>
  <si>
    <t>Item gap</t>
  </si>
  <si>
    <t>Student Mean - Trainer Score</t>
  </si>
  <si>
    <t>Dimension score</t>
  </si>
  <si>
    <t>AVERAGE of the item-level scores within each SERVQUAL dimension</t>
  </si>
  <si>
    <t>Overall gap</t>
  </si>
  <si>
    <t>Student Overall Mean - Trainer Overall Score</t>
  </si>
  <si>
    <t>Important</t>
  </si>
  <si>
    <t>Raw response sheets are preserved. Formula sheets are linked to the raw/coded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</si>
</sst>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charset val="1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164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2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8.6640625" defaultRowHeight="15" customHeight="1" x14ac:dyDescent="0.2"/>
  <cols>
    <col min="1" max="1" width="28" customWidth="1"/>
    <col min="2" max="2" width="54" customWidth="1"/>
    <col min="3" max="3" width="44" customWidth="1"/>
    <col min="4" max="4" width="52" customWidth="1"/>
    <col min="5" max="5" width="55" customWidth="1"/>
    <col min="6" max="6" width="45" customWidth="1"/>
    <col min="7" max="8" width="55" customWidth="1"/>
    <col min="9" max="9" width="51" customWidth="1"/>
    <col min="10" max="32" width="55" customWidth="1"/>
  </cols>
  <sheetData>
    <row r="1" spans="1:32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16" x14ac:dyDescent="0.2">
      <c r="A2" s="2">
        <v>46276.834167963003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37</v>
      </c>
      <c r="I2" s="3" t="s">
        <v>37</v>
      </c>
      <c r="J2" s="3" t="s">
        <v>37</v>
      </c>
      <c r="K2" s="3" t="s">
        <v>37</v>
      </c>
      <c r="L2" s="3" t="s">
        <v>37</v>
      </c>
      <c r="M2" s="3" t="s">
        <v>37</v>
      </c>
      <c r="N2" s="3" t="s">
        <v>37</v>
      </c>
      <c r="O2" s="3" t="s">
        <v>37</v>
      </c>
      <c r="P2" s="3" t="s">
        <v>37</v>
      </c>
      <c r="Q2" s="3" t="s">
        <v>37</v>
      </c>
      <c r="R2" s="3" t="s">
        <v>37</v>
      </c>
      <c r="S2" s="3" t="s">
        <v>37</v>
      </c>
      <c r="T2" s="3" t="s">
        <v>37</v>
      </c>
      <c r="U2" s="3" t="s">
        <v>37</v>
      </c>
      <c r="V2" s="3" t="s">
        <v>37</v>
      </c>
      <c r="W2" s="3" t="s">
        <v>37</v>
      </c>
      <c r="X2" s="3" t="s">
        <v>37</v>
      </c>
      <c r="Y2" s="3" t="s">
        <v>37</v>
      </c>
      <c r="Z2" s="3" t="s">
        <v>37</v>
      </c>
      <c r="AA2" s="3">
        <v>5</v>
      </c>
      <c r="AB2" s="3" t="s">
        <v>37</v>
      </c>
      <c r="AC2" s="3" t="s">
        <v>38</v>
      </c>
      <c r="AD2" s="3" t="s">
        <v>39</v>
      </c>
      <c r="AE2" s="3" t="s">
        <v>40</v>
      </c>
      <c r="AF2" s="3" t="s">
        <v>41</v>
      </c>
    </row>
    <row r="3" spans="1:32" ht="32" x14ac:dyDescent="0.2">
      <c r="A3" s="2">
        <v>46276.835261215303</v>
      </c>
      <c r="B3" s="3" t="s">
        <v>32</v>
      </c>
      <c r="C3" s="3" t="s">
        <v>42</v>
      </c>
      <c r="D3" s="3" t="s">
        <v>34</v>
      </c>
      <c r="E3" s="3" t="s">
        <v>35</v>
      </c>
      <c r="F3" s="3" t="s">
        <v>43</v>
      </c>
      <c r="G3" s="3" t="s">
        <v>37</v>
      </c>
      <c r="H3" s="3" t="s">
        <v>37</v>
      </c>
      <c r="I3" s="3" t="s">
        <v>44</v>
      </c>
      <c r="J3" s="3" t="s">
        <v>44</v>
      </c>
      <c r="K3" s="3" t="s">
        <v>37</v>
      </c>
      <c r="L3" s="3" t="s">
        <v>44</v>
      </c>
      <c r="M3" s="3" t="s">
        <v>44</v>
      </c>
      <c r="N3" s="3" t="s">
        <v>44</v>
      </c>
      <c r="O3" s="3" t="s">
        <v>44</v>
      </c>
      <c r="P3" s="3" t="s">
        <v>45</v>
      </c>
      <c r="Q3" s="3" t="s">
        <v>44</v>
      </c>
      <c r="R3" s="3" t="s">
        <v>45</v>
      </c>
      <c r="S3" s="3" t="s">
        <v>45</v>
      </c>
      <c r="T3" s="3" t="s">
        <v>45</v>
      </c>
      <c r="U3" s="3" t="s">
        <v>46</v>
      </c>
      <c r="V3" s="3" t="s">
        <v>46</v>
      </c>
      <c r="W3" s="3" t="s">
        <v>44</v>
      </c>
      <c r="X3" s="3" t="s">
        <v>45</v>
      </c>
      <c r="Y3" s="3" t="s">
        <v>45</v>
      </c>
      <c r="Z3" s="3" t="s">
        <v>45</v>
      </c>
      <c r="AA3" s="3">
        <v>4</v>
      </c>
      <c r="AB3" s="3" t="s">
        <v>44</v>
      </c>
      <c r="AC3" s="3" t="s">
        <v>47</v>
      </c>
      <c r="AD3" s="3" t="s">
        <v>48</v>
      </c>
      <c r="AE3" s="3" t="s">
        <v>49</v>
      </c>
      <c r="AF3" s="3" t="s">
        <v>50</v>
      </c>
    </row>
    <row r="4" spans="1:32" ht="16" x14ac:dyDescent="0.2">
      <c r="A4" s="2">
        <v>46276.873268113399</v>
      </c>
      <c r="B4" s="3" t="s">
        <v>32</v>
      </c>
      <c r="C4" s="3" t="s">
        <v>33</v>
      </c>
      <c r="D4" s="3" t="s">
        <v>51</v>
      </c>
      <c r="E4" s="3" t="s">
        <v>52</v>
      </c>
      <c r="F4" s="3" t="s">
        <v>43</v>
      </c>
      <c r="G4" s="3" t="s">
        <v>44</v>
      </c>
      <c r="H4" s="3" t="s">
        <v>37</v>
      </c>
      <c r="I4" s="3" t="s">
        <v>44</v>
      </c>
      <c r="J4" s="3" t="s">
        <v>44</v>
      </c>
      <c r="K4" s="3" t="s">
        <v>37</v>
      </c>
      <c r="L4" s="3" t="s">
        <v>44</v>
      </c>
      <c r="M4" s="3" t="s">
        <v>44</v>
      </c>
      <c r="N4" s="3" t="s">
        <v>45</v>
      </c>
      <c r="O4" s="3" t="s">
        <v>45</v>
      </c>
      <c r="P4" s="3" t="s">
        <v>45</v>
      </c>
      <c r="Q4" s="3" t="s">
        <v>44</v>
      </c>
      <c r="R4" s="3" t="s">
        <v>45</v>
      </c>
      <c r="S4" s="3" t="s">
        <v>45</v>
      </c>
      <c r="T4" s="3" t="s">
        <v>44</v>
      </c>
      <c r="U4" s="3" t="s">
        <v>44</v>
      </c>
      <c r="V4" s="3" t="s">
        <v>44</v>
      </c>
      <c r="W4" s="3" t="s">
        <v>44</v>
      </c>
      <c r="X4" s="3" t="s">
        <v>44</v>
      </c>
      <c r="Y4" s="3" t="s">
        <v>44</v>
      </c>
      <c r="Z4" s="3" t="s">
        <v>37</v>
      </c>
      <c r="AA4" s="3">
        <v>5</v>
      </c>
      <c r="AB4" s="3" t="s">
        <v>45</v>
      </c>
      <c r="AC4" s="3" t="s">
        <v>53</v>
      </c>
      <c r="AD4" s="3"/>
      <c r="AE4" s="3"/>
      <c r="AF4" s="3"/>
    </row>
    <row r="5" spans="1:32" ht="16" x14ac:dyDescent="0.2">
      <c r="A5" s="2">
        <v>46277.024116736102</v>
      </c>
      <c r="B5" s="3" t="s">
        <v>32</v>
      </c>
      <c r="C5" s="3" t="s">
        <v>33</v>
      </c>
      <c r="D5" s="3" t="s">
        <v>51</v>
      </c>
      <c r="E5" s="3" t="s">
        <v>52</v>
      </c>
      <c r="F5" s="3" t="s">
        <v>43</v>
      </c>
      <c r="G5" s="3" t="s">
        <v>46</v>
      </c>
      <c r="H5" s="3" t="s">
        <v>46</v>
      </c>
      <c r="I5" s="3" t="s">
        <v>46</v>
      </c>
      <c r="J5" s="3" t="s">
        <v>46</v>
      </c>
      <c r="K5" s="3" t="s">
        <v>46</v>
      </c>
      <c r="L5" s="3" t="s">
        <v>45</v>
      </c>
      <c r="M5" s="3" t="s">
        <v>45</v>
      </c>
      <c r="N5" s="3" t="s">
        <v>45</v>
      </c>
      <c r="O5" s="3" t="s">
        <v>45</v>
      </c>
      <c r="P5" s="3" t="s">
        <v>45</v>
      </c>
      <c r="Q5" s="3" t="s">
        <v>45</v>
      </c>
      <c r="R5" s="3" t="s">
        <v>45</v>
      </c>
      <c r="S5" s="3" t="s">
        <v>45</v>
      </c>
      <c r="T5" s="3" t="s">
        <v>45</v>
      </c>
      <c r="U5" s="3" t="s">
        <v>46</v>
      </c>
      <c r="V5" s="3" t="s">
        <v>46</v>
      </c>
      <c r="W5" s="3" t="s">
        <v>45</v>
      </c>
      <c r="X5" s="3" t="s">
        <v>45</v>
      </c>
      <c r="Y5" s="3" t="s">
        <v>45</v>
      </c>
      <c r="Z5" s="3" t="s">
        <v>45</v>
      </c>
      <c r="AA5" s="3">
        <v>5</v>
      </c>
      <c r="AB5" s="3" t="s">
        <v>45</v>
      </c>
      <c r="AC5" s="3" t="s">
        <v>53</v>
      </c>
      <c r="AD5" s="3" t="s">
        <v>54</v>
      </c>
      <c r="AE5" s="3" t="s">
        <v>54</v>
      </c>
      <c r="AF5" s="3" t="s">
        <v>55</v>
      </c>
    </row>
    <row r="6" spans="1:32" ht="16" x14ac:dyDescent="0.2">
      <c r="A6" s="2">
        <v>46277.0848381713</v>
      </c>
      <c r="B6" s="3" t="s">
        <v>32</v>
      </c>
      <c r="C6" s="3" t="s">
        <v>33</v>
      </c>
      <c r="D6" s="3" t="s">
        <v>56</v>
      </c>
      <c r="E6" s="3" t="s">
        <v>52</v>
      </c>
      <c r="F6" s="3" t="s">
        <v>43</v>
      </c>
      <c r="G6" s="3" t="s">
        <v>37</v>
      </c>
      <c r="H6" s="3" t="s">
        <v>46</v>
      </c>
      <c r="I6" s="3" t="s">
        <v>46</v>
      </c>
      <c r="J6" s="3" t="s">
        <v>46</v>
      </c>
      <c r="K6" s="3" t="s">
        <v>37</v>
      </c>
      <c r="L6" s="3" t="s">
        <v>37</v>
      </c>
      <c r="M6" s="3" t="s">
        <v>45</v>
      </c>
      <c r="N6" s="3" t="s">
        <v>45</v>
      </c>
      <c r="O6" s="3" t="s">
        <v>45</v>
      </c>
      <c r="P6" s="3" t="s">
        <v>45</v>
      </c>
      <c r="Q6" s="3" t="s">
        <v>45</v>
      </c>
      <c r="R6" s="3" t="s">
        <v>45</v>
      </c>
      <c r="S6" s="3" t="s">
        <v>45</v>
      </c>
      <c r="T6" s="3" t="s">
        <v>45</v>
      </c>
      <c r="U6" s="3" t="s">
        <v>46</v>
      </c>
      <c r="V6" s="3" t="s">
        <v>46</v>
      </c>
      <c r="W6" s="3" t="s">
        <v>45</v>
      </c>
      <c r="X6" s="3" t="s">
        <v>45</v>
      </c>
      <c r="Y6" s="3" t="s">
        <v>45</v>
      </c>
      <c r="Z6" s="3" t="s">
        <v>45</v>
      </c>
      <c r="AA6" s="3">
        <v>3</v>
      </c>
      <c r="AB6" s="3" t="s">
        <v>44</v>
      </c>
      <c r="AC6" s="3" t="s">
        <v>47</v>
      </c>
      <c r="AD6" s="3" t="s">
        <v>57</v>
      </c>
      <c r="AE6" s="3" t="s">
        <v>58</v>
      </c>
      <c r="AF6" s="3" t="s">
        <v>59</v>
      </c>
    </row>
    <row r="7" spans="1:32" ht="16" x14ac:dyDescent="0.2">
      <c r="A7" s="2">
        <v>46277.085615775497</v>
      </c>
      <c r="B7" s="3" t="s">
        <v>32</v>
      </c>
      <c r="C7" s="3" t="s">
        <v>33</v>
      </c>
      <c r="D7" s="3" t="s">
        <v>60</v>
      </c>
      <c r="E7" s="3" t="s">
        <v>52</v>
      </c>
      <c r="F7" s="3" t="s">
        <v>43</v>
      </c>
      <c r="G7" s="3" t="s">
        <v>44</v>
      </c>
      <c r="H7" s="3" t="s">
        <v>44</v>
      </c>
      <c r="I7" s="3" t="s">
        <v>46</v>
      </c>
      <c r="J7" s="3" t="s">
        <v>46</v>
      </c>
      <c r="K7" s="3" t="s">
        <v>61</v>
      </c>
      <c r="L7" s="3" t="s">
        <v>45</v>
      </c>
      <c r="M7" s="3" t="s">
        <v>44</v>
      </c>
      <c r="N7" s="3" t="s">
        <v>45</v>
      </c>
      <c r="O7" s="3" t="s">
        <v>45</v>
      </c>
      <c r="P7" s="3" t="s">
        <v>45</v>
      </c>
      <c r="Q7" s="3" t="s">
        <v>45</v>
      </c>
      <c r="R7" s="3" t="s">
        <v>45</v>
      </c>
      <c r="S7" s="3" t="s">
        <v>45</v>
      </c>
      <c r="T7" s="3" t="s">
        <v>45</v>
      </c>
      <c r="U7" s="3" t="s">
        <v>44</v>
      </c>
      <c r="V7" s="3" t="s">
        <v>46</v>
      </c>
      <c r="W7" s="3" t="s">
        <v>45</v>
      </c>
      <c r="X7" s="3" t="s">
        <v>44</v>
      </c>
      <c r="Y7" s="3" t="s">
        <v>45</v>
      </c>
      <c r="Z7" s="3" t="s">
        <v>44</v>
      </c>
      <c r="AA7" s="3">
        <v>4</v>
      </c>
      <c r="AB7" s="3" t="s">
        <v>44</v>
      </c>
      <c r="AC7" s="3" t="s">
        <v>47</v>
      </c>
      <c r="AD7" s="3" t="s">
        <v>62</v>
      </c>
      <c r="AE7" s="3" t="s">
        <v>63</v>
      </c>
      <c r="AF7" s="3" t="s">
        <v>64</v>
      </c>
    </row>
    <row r="8" spans="1:32" ht="16" x14ac:dyDescent="0.2">
      <c r="A8" s="2">
        <v>46277.3450687269</v>
      </c>
      <c r="B8" s="3" t="s">
        <v>32</v>
      </c>
      <c r="C8" s="3" t="s">
        <v>42</v>
      </c>
      <c r="D8" s="3" t="s">
        <v>56</v>
      </c>
      <c r="E8" s="3" t="s">
        <v>65</v>
      </c>
      <c r="F8" s="3" t="s">
        <v>36</v>
      </c>
      <c r="G8" s="3" t="s">
        <v>44</v>
      </c>
      <c r="H8" s="3" t="s">
        <v>44</v>
      </c>
      <c r="I8" s="3" t="s">
        <v>46</v>
      </c>
      <c r="J8" s="3" t="s">
        <v>46</v>
      </c>
      <c r="K8" s="3" t="s">
        <v>44</v>
      </c>
      <c r="L8" s="3" t="s">
        <v>44</v>
      </c>
      <c r="M8" s="3" t="s">
        <v>45</v>
      </c>
      <c r="N8" s="3" t="s">
        <v>66</v>
      </c>
      <c r="O8" s="3" t="s">
        <v>37</v>
      </c>
      <c r="P8" s="3" t="s">
        <v>45</v>
      </c>
      <c r="Q8" s="3" t="s">
        <v>45</v>
      </c>
      <c r="R8" s="3" t="s">
        <v>45</v>
      </c>
      <c r="S8" s="3" t="s">
        <v>45</v>
      </c>
      <c r="T8" s="3" t="s">
        <v>45</v>
      </c>
      <c r="U8" s="3" t="s">
        <v>46</v>
      </c>
      <c r="V8" s="3" t="s">
        <v>46</v>
      </c>
      <c r="W8" s="3" t="s">
        <v>45</v>
      </c>
      <c r="X8" s="3" t="s">
        <v>66</v>
      </c>
      <c r="Y8" s="3" t="s">
        <v>45</v>
      </c>
      <c r="Z8" s="3" t="s">
        <v>45</v>
      </c>
      <c r="AA8" s="3">
        <v>5</v>
      </c>
      <c r="AB8" s="3" t="s">
        <v>45</v>
      </c>
      <c r="AC8" s="3" t="s">
        <v>53</v>
      </c>
      <c r="AD8" s="3"/>
      <c r="AE8" s="3" t="s">
        <v>67</v>
      </c>
      <c r="AF8" s="3"/>
    </row>
    <row r="9" spans="1:32" ht="16" x14ac:dyDescent="0.2">
      <c r="A9" s="2">
        <v>46277.390059351899</v>
      </c>
      <c r="B9" s="3" t="s">
        <v>32</v>
      </c>
      <c r="C9" s="3" t="s">
        <v>33</v>
      </c>
      <c r="D9" s="3" t="s">
        <v>56</v>
      </c>
      <c r="E9" s="3" t="s">
        <v>68</v>
      </c>
      <c r="F9" s="3" t="s">
        <v>43</v>
      </c>
      <c r="G9" s="3" t="s">
        <v>44</v>
      </c>
      <c r="H9" s="3" t="s">
        <v>61</v>
      </c>
      <c r="I9" s="3" t="s">
        <v>46</v>
      </c>
      <c r="J9" s="3" t="s">
        <v>46</v>
      </c>
      <c r="K9" s="3" t="s">
        <v>44</v>
      </c>
      <c r="L9" s="3" t="s">
        <v>45</v>
      </c>
      <c r="M9" s="3" t="s">
        <v>45</v>
      </c>
      <c r="N9" s="3" t="s">
        <v>45</v>
      </c>
      <c r="O9" s="3" t="s">
        <v>45</v>
      </c>
      <c r="P9" s="3" t="s">
        <v>45</v>
      </c>
      <c r="Q9" s="3" t="s">
        <v>45</v>
      </c>
      <c r="R9" s="3" t="s">
        <v>45</v>
      </c>
      <c r="S9" s="3" t="s">
        <v>45</v>
      </c>
      <c r="T9" s="3" t="s">
        <v>45</v>
      </c>
      <c r="U9" s="3" t="s">
        <v>46</v>
      </c>
      <c r="V9" s="3" t="s">
        <v>46</v>
      </c>
      <c r="W9" s="3" t="s">
        <v>45</v>
      </c>
      <c r="X9" s="3" t="s">
        <v>45</v>
      </c>
      <c r="Y9" s="3" t="s">
        <v>45</v>
      </c>
      <c r="Z9" s="3" t="s">
        <v>45</v>
      </c>
      <c r="AA9" s="3">
        <v>5</v>
      </c>
      <c r="AB9" s="3" t="s">
        <v>44</v>
      </c>
      <c r="AC9" s="3" t="s">
        <v>53</v>
      </c>
      <c r="AD9" s="3" t="s">
        <v>69</v>
      </c>
      <c r="AE9" s="3" t="s">
        <v>70</v>
      </c>
      <c r="AF9" s="3"/>
    </row>
    <row r="10" spans="1:32" ht="16" x14ac:dyDescent="0.2">
      <c r="A10" s="2">
        <v>46277.393872488399</v>
      </c>
      <c r="B10" s="3" t="s">
        <v>32</v>
      </c>
      <c r="C10" s="3" t="s">
        <v>33</v>
      </c>
      <c r="D10" s="3" t="s">
        <v>60</v>
      </c>
      <c r="E10" s="3" t="s">
        <v>35</v>
      </c>
      <c r="F10" s="3" t="s">
        <v>71</v>
      </c>
      <c r="G10" s="3" t="s">
        <v>44</v>
      </c>
      <c r="H10" s="3" t="s">
        <v>44</v>
      </c>
      <c r="I10" s="3" t="s">
        <v>37</v>
      </c>
      <c r="J10" s="3" t="s">
        <v>44</v>
      </c>
      <c r="K10" s="3" t="s">
        <v>44</v>
      </c>
      <c r="L10" s="3" t="s">
        <v>44</v>
      </c>
      <c r="M10" s="3" t="s">
        <v>44</v>
      </c>
      <c r="N10" s="3" t="s">
        <v>44</v>
      </c>
      <c r="O10" s="3" t="s">
        <v>44</v>
      </c>
      <c r="P10" s="3" t="s">
        <v>44</v>
      </c>
      <c r="Q10" s="3" t="s">
        <v>44</v>
      </c>
      <c r="R10" s="3" t="s">
        <v>37</v>
      </c>
      <c r="S10" s="3" t="s">
        <v>45</v>
      </c>
      <c r="T10" s="3" t="s">
        <v>44</v>
      </c>
      <c r="U10" s="3" t="s">
        <v>44</v>
      </c>
      <c r="V10" s="3" t="s">
        <v>46</v>
      </c>
      <c r="W10" s="3" t="s">
        <v>45</v>
      </c>
      <c r="X10" s="3" t="s">
        <v>44</v>
      </c>
      <c r="Y10" s="3" t="s">
        <v>44</v>
      </c>
      <c r="Z10" s="3" t="s">
        <v>44</v>
      </c>
      <c r="AA10" s="3">
        <v>4</v>
      </c>
      <c r="AB10" s="3" t="s">
        <v>44</v>
      </c>
      <c r="AC10" s="3" t="s">
        <v>47</v>
      </c>
      <c r="AD10" s="3" t="s">
        <v>72</v>
      </c>
      <c r="AE10" s="3" t="s">
        <v>73</v>
      </c>
      <c r="AF10" s="3"/>
    </row>
    <row r="11" spans="1:32" ht="16" x14ac:dyDescent="0.2">
      <c r="A11" s="2">
        <v>46278.544342384303</v>
      </c>
      <c r="B11" s="3" t="s">
        <v>32</v>
      </c>
      <c r="C11" s="3" t="s">
        <v>33</v>
      </c>
      <c r="D11" s="3" t="s">
        <v>51</v>
      </c>
      <c r="E11" s="3" t="s">
        <v>65</v>
      </c>
      <c r="F11" s="3" t="s">
        <v>43</v>
      </c>
      <c r="G11" s="3" t="s">
        <v>44</v>
      </c>
      <c r="H11" s="3" t="s">
        <v>66</v>
      </c>
      <c r="I11" s="3" t="s">
        <v>44</v>
      </c>
      <c r="J11" s="3" t="s">
        <v>44</v>
      </c>
      <c r="K11" s="3" t="s">
        <v>66</v>
      </c>
      <c r="L11" s="3" t="s">
        <v>44</v>
      </c>
      <c r="M11" s="3" t="s">
        <v>45</v>
      </c>
      <c r="N11" s="3" t="s">
        <v>45</v>
      </c>
      <c r="O11" s="3" t="s">
        <v>45</v>
      </c>
      <c r="P11" s="3" t="s">
        <v>44</v>
      </c>
      <c r="Q11" s="3" t="s">
        <v>44</v>
      </c>
      <c r="R11" s="3" t="s">
        <v>45</v>
      </c>
      <c r="S11" s="3" t="s">
        <v>45</v>
      </c>
      <c r="T11" s="3" t="s">
        <v>44</v>
      </c>
      <c r="U11" s="3" t="s">
        <v>46</v>
      </c>
      <c r="V11" s="3" t="s">
        <v>46</v>
      </c>
      <c r="W11" s="3" t="s">
        <v>44</v>
      </c>
      <c r="X11" s="3" t="s">
        <v>44</v>
      </c>
      <c r="Y11" s="3" t="s">
        <v>44</v>
      </c>
      <c r="Z11" s="3" t="s">
        <v>37</v>
      </c>
      <c r="AA11" s="3">
        <v>3</v>
      </c>
      <c r="AB11" s="3" t="s">
        <v>37</v>
      </c>
      <c r="AC11" s="3" t="s">
        <v>38</v>
      </c>
      <c r="AD11" s="3" t="s">
        <v>74</v>
      </c>
      <c r="AE11" s="3" t="s">
        <v>75</v>
      </c>
      <c r="AF11" s="3"/>
    </row>
    <row r="12" spans="1:32" ht="16" x14ac:dyDescent="0.2">
      <c r="A12" s="2">
        <v>46278.561929456002</v>
      </c>
      <c r="B12" s="3" t="s">
        <v>32</v>
      </c>
      <c r="C12" s="3" t="s">
        <v>33</v>
      </c>
      <c r="D12" s="3" t="s">
        <v>76</v>
      </c>
      <c r="E12" s="3" t="s">
        <v>77</v>
      </c>
      <c r="F12" s="3" t="s">
        <v>36</v>
      </c>
      <c r="G12" s="3" t="s">
        <v>37</v>
      </c>
      <c r="H12" s="3" t="s">
        <v>61</v>
      </c>
      <c r="I12" s="3" t="s">
        <v>37</v>
      </c>
      <c r="J12" s="3" t="s">
        <v>66</v>
      </c>
      <c r="K12" s="3" t="s">
        <v>61</v>
      </c>
      <c r="L12" s="3" t="s">
        <v>44</v>
      </c>
      <c r="M12" s="3" t="s">
        <v>37</v>
      </c>
      <c r="N12" s="3" t="s">
        <v>66</v>
      </c>
      <c r="O12" s="3" t="s">
        <v>44</v>
      </c>
      <c r="P12" s="3" t="s">
        <v>37</v>
      </c>
      <c r="Q12" s="3" t="s">
        <v>37</v>
      </c>
      <c r="R12" s="3" t="s">
        <v>44</v>
      </c>
      <c r="S12" s="3" t="s">
        <v>37</v>
      </c>
      <c r="T12" s="3" t="s">
        <v>37</v>
      </c>
      <c r="U12" s="3" t="s">
        <v>37</v>
      </c>
      <c r="V12" s="3" t="s">
        <v>66</v>
      </c>
      <c r="W12" s="3" t="s">
        <v>37</v>
      </c>
      <c r="X12" s="3" t="s">
        <v>37</v>
      </c>
      <c r="Y12" s="3" t="s">
        <v>66</v>
      </c>
      <c r="Z12" s="3" t="s">
        <v>37</v>
      </c>
      <c r="AA12" s="3">
        <v>1</v>
      </c>
      <c r="AB12" s="3" t="s">
        <v>78</v>
      </c>
      <c r="AC12" s="3" t="s">
        <v>79</v>
      </c>
      <c r="AD12" s="3"/>
      <c r="AE12" s="3"/>
      <c r="AF12" s="3"/>
    </row>
    <row r="13" spans="1:32" ht="16" x14ac:dyDescent="0.2">
      <c r="A13" s="2">
        <v>46278.580336712999</v>
      </c>
      <c r="B13" s="3" t="s">
        <v>32</v>
      </c>
      <c r="C13" s="3" t="s">
        <v>33</v>
      </c>
      <c r="D13" s="3" t="s">
        <v>60</v>
      </c>
      <c r="E13" s="3" t="s">
        <v>52</v>
      </c>
      <c r="F13" s="3" t="s">
        <v>71</v>
      </c>
      <c r="G13" s="3" t="s">
        <v>37</v>
      </c>
      <c r="H13" s="3" t="s">
        <v>37</v>
      </c>
      <c r="I13" s="3" t="s">
        <v>37</v>
      </c>
      <c r="J13" s="3" t="s">
        <v>37</v>
      </c>
      <c r="K13" s="3" t="s">
        <v>37</v>
      </c>
      <c r="L13" s="3" t="s">
        <v>37</v>
      </c>
      <c r="M13" s="3" t="s">
        <v>37</v>
      </c>
      <c r="N13" s="3" t="s">
        <v>37</v>
      </c>
      <c r="O13" s="3" t="s">
        <v>37</v>
      </c>
      <c r="P13" s="3" t="s">
        <v>37</v>
      </c>
      <c r="Q13" s="3" t="s">
        <v>37</v>
      </c>
      <c r="R13" s="3" t="s">
        <v>37</v>
      </c>
      <c r="S13" s="3" t="s">
        <v>37</v>
      </c>
      <c r="T13" s="3" t="s">
        <v>37</v>
      </c>
      <c r="U13" s="3" t="s">
        <v>37</v>
      </c>
      <c r="V13" s="3" t="s">
        <v>37</v>
      </c>
      <c r="W13" s="3" t="s">
        <v>37</v>
      </c>
      <c r="X13" s="3" t="s">
        <v>37</v>
      </c>
      <c r="Y13" s="3" t="s">
        <v>37</v>
      </c>
      <c r="Z13" s="3" t="s">
        <v>37</v>
      </c>
      <c r="AA13" s="3">
        <v>3</v>
      </c>
      <c r="AB13" s="3" t="s">
        <v>37</v>
      </c>
      <c r="AC13" s="3" t="s">
        <v>53</v>
      </c>
      <c r="AD13" s="3"/>
      <c r="AE13" s="3"/>
      <c r="AF13" s="3"/>
    </row>
    <row r="14" spans="1:32" ht="16" x14ac:dyDescent="0.2">
      <c r="A14" s="2">
        <v>46278.585810844903</v>
      </c>
      <c r="B14" s="3" t="s">
        <v>32</v>
      </c>
      <c r="C14" s="3" t="s">
        <v>33</v>
      </c>
      <c r="D14" s="3" t="s">
        <v>76</v>
      </c>
      <c r="E14" s="3" t="s">
        <v>68</v>
      </c>
      <c r="F14" s="3" t="s">
        <v>36</v>
      </c>
      <c r="G14" s="3" t="s">
        <v>46</v>
      </c>
      <c r="H14" s="3" t="s">
        <v>46</v>
      </c>
      <c r="I14" s="3" t="s">
        <v>46</v>
      </c>
      <c r="J14" s="3" t="s">
        <v>46</v>
      </c>
      <c r="K14" s="3" t="s">
        <v>46</v>
      </c>
      <c r="L14" s="3" t="s">
        <v>45</v>
      </c>
      <c r="M14" s="3" t="s">
        <v>45</v>
      </c>
      <c r="N14" s="3" t="s">
        <v>45</v>
      </c>
      <c r="O14" s="3" t="s">
        <v>45</v>
      </c>
      <c r="P14" s="3" t="s">
        <v>45</v>
      </c>
      <c r="Q14" s="3" t="s">
        <v>45</v>
      </c>
      <c r="R14" s="3" t="s">
        <v>44</v>
      </c>
      <c r="S14" s="3" t="s">
        <v>44</v>
      </c>
      <c r="T14" s="3" t="s">
        <v>44</v>
      </c>
      <c r="U14" s="3" t="s">
        <v>44</v>
      </c>
      <c r="V14" s="3" t="s">
        <v>44</v>
      </c>
      <c r="W14" s="3" t="s">
        <v>44</v>
      </c>
      <c r="X14" s="3" t="s">
        <v>44</v>
      </c>
      <c r="Y14" s="3" t="s">
        <v>44</v>
      </c>
      <c r="Z14" s="3" t="s">
        <v>44</v>
      </c>
      <c r="AA14" s="3">
        <v>5</v>
      </c>
      <c r="AB14" s="3" t="s">
        <v>44</v>
      </c>
      <c r="AC14" s="3" t="s">
        <v>47</v>
      </c>
      <c r="AD14" s="3"/>
      <c r="AE14" s="3"/>
      <c r="AF14" s="3"/>
    </row>
    <row r="15" spans="1:32" ht="16" x14ac:dyDescent="0.2">
      <c r="A15" s="2">
        <v>46278.586568229199</v>
      </c>
      <c r="B15" s="3" t="s">
        <v>32</v>
      </c>
      <c r="C15" s="3" t="s">
        <v>33</v>
      </c>
      <c r="D15" s="3" t="s">
        <v>60</v>
      </c>
      <c r="E15" s="3" t="s">
        <v>77</v>
      </c>
      <c r="F15" s="3" t="s">
        <v>71</v>
      </c>
      <c r="G15" s="3" t="s">
        <v>37</v>
      </c>
      <c r="H15" s="3" t="s">
        <v>44</v>
      </c>
      <c r="I15" s="3" t="s">
        <v>44</v>
      </c>
      <c r="J15" s="3" t="s">
        <v>46</v>
      </c>
      <c r="K15" s="3" t="s">
        <v>44</v>
      </c>
      <c r="L15" s="3" t="s">
        <v>44</v>
      </c>
      <c r="M15" s="3" t="s">
        <v>45</v>
      </c>
      <c r="N15" s="3" t="s">
        <v>45</v>
      </c>
      <c r="O15" s="3" t="s">
        <v>45</v>
      </c>
      <c r="P15" s="3" t="s">
        <v>37</v>
      </c>
      <c r="Q15" s="3" t="s">
        <v>66</v>
      </c>
      <c r="R15" s="3" t="s">
        <v>37</v>
      </c>
      <c r="S15" s="3" t="s">
        <v>66</v>
      </c>
      <c r="T15" s="3" t="s">
        <v>45</v>
      </c>
      <c r="U15" s="3" t="s">
        <v>46</v>
      </c>
      <c r="V15" s="3" t="s">
        <v>46</v>
      </c>
      <c r="W15" s="3" t="s">
        <v>45</v>
      </c>
      <c r="X15" s="3" t="s">
        <v>45</v>
      </c>
      <c r="Y15" s="3" t="s">
        <v>45</v>
      </c>
      <c r="Z15" s="3" t="s">
        <v>44</v>
      </c>
      <c r="AA15" s="3">
        <v>5</v>
      </c>
      <c r="AB15" s="3" t="s">
        <v>45</v>
      </c>
      <c r="AC15" s="3" t="s">
        <v>79</v>
      </c>
      <c r="AD15" s="3" t="s">
        <v>80</v>
      </c>
      <c r="AE15" s="3" t="s">
        <v>81</v>
      </c>
      <c r="AF15" s="3" t="s">
        <v>82</v>
      </c>
    </row>
    <row r="16" spans="1:32" ht="16" x14ac:dyDescent="0.2">
      <c r="A16" s="2">
        <v>46278.588445196801</v>
      </c>
      <c r="B16" s="3" t="s">
        <v>32</v>
      </c>
      <c r="C16" s="3" t="s">
        <v>42</v>
      </c>
      <c r="D16" s="3" t="s">
        <v>56</v>
      </c>
      <c r="E16" s="3" t="s">
        <v>77</v>
      </c>
      <c r="F16" s="3" t="s">
        <v>36</v>
      </c>
      <c r="G16" s="3" t="s">
        <v>44</v>
      </c>
      <c r="H16" s="3" t="s">
        <v>44</v>
      </c>
      <c r="I16" s="3" t="s">
        <v>46</v>
      </c>
      <c r="J16" s="3" t="s">
        <v>46</v>
      </c>
      <c r="K16" s="3" t="s">
        <v>44</v>
      </c>
      <c r="L16" s="3" t="s">
        <v>45</v>
      </c>
      <c r="M16" s="3" t="s">
        <v>45</v>
      </c>
      <c r="N16" s="3" t="s">
        <v>45</v>
      </c>
      <c r="O16" s="3" t="s">
        <v>45</v>
      </c>
      <c r="P16" s="3" t="s">
        <v>44</v>
      </c>
      <c r="Q16" s="3" t="s">
        <v>45</v>
      </c>
      <c r="R16" s="3" t="s">
        <v>44</v>
      </c>
      <c r="S16" s="3" t="s">
        <v>44</v>
      </c>
      <c r="T16" s="3" t="s">
        <v>45</v>
      </c>
      <c r="U16" s="3" t="s">
        <v>46</v>
      </c>
      <c r="V16" s="3" t="s">
        <v>44</v>
      </c>
      <c r="W16" s="3" t="s">
        <v>44</v>
      </c>
      <c r="X16" s="3" t="s">
        <v>45</v>
      </c>
      <c r="Y16" s="3" t="s">
        <v>44</v>
      </c>
      <c r="Z16" s="3" t="s">
        <v>44</v>
      </c>
      <c r="AA16" s="3">
        <v>2</v>
      </c>
      <c r="AB16" s="3" t="s">
        <v>37</v>
      </c>
      <c r="AC16" s="3" t="s">
        <v>38</v>
      </c>
      <c r="AD16" s="3" t="s">
        <v>83</v>
      </c>
      <c r="AE16" s="3" t="s">
        <v>84</v>
      </c>
      <c r="AF16" s="3"/>
    </row>
    <row r="17" spans="1:32" ht="16" x14ac:dyDescent="0.2">
      <c r="A17" s="2">
        <v>46278.592123020797</v>
      </c>
      <c r="B17" s="3" t="s">
        <v>32</v>
      </c>
      <c r="C17" s="3" t="s">
        <v>33</v>
      </c>
      <c r="D17" s="3" t="s">
        <v>51</v>
      </c>
      <c r="E17" s="3" t="s">
        <v>77</v>
      </c>
      <c r="F17" s="3" t="s">
        <v>43</v>
      </c>
      <c r="G17" s="3" t="s">
        <v>37</v>
      </c>
      <c r="H17" s="3" t="s">
        <v>66</v>
      </c>
      <c r="I17" s="3" t="s">
        <v>44</v>
      </c>
      <c r="J17" s="3" t="s">
        <v>37</v>
      </c>
      <c r="K17" s="3" t="s">
        <v>66</v>
      </c>
      <c r="L17" s="3" t="s">
        <v>37</v>
      </c>
      <c r="M17" s="3" t="s">
        <v>37</v>
      </c>
      <c r="N17" s="3" t="s">
        <v>37</v>
      </c>
      <c r="O17" s="3" t="s">
        <v>37</v>
      </c>
      <c r="P17" s="3" t="s">
        <v>37</v>
      </c>
      <c r="Q17" s="3" t="s">
        <v>37</v>
      </c>
      <c r="R17" s="3" t="s">
        <v>37</v>
      </c>
      <c r="S17" s="3" t="s">
        <v>44</v>
      </c>
      <c r="T17" s="3" t="s">
        <v>44</v>
      </c>
      <c r="U17" s="3" t="s">
        <v>37</v>
      </c>
      <c r="V17" s="3" t="s">
        <v>37</v>
      </c>
      <c r="W17" s="3" t="s">
        <v>66</v>
      </c>
      <c r="X17" s="3" t="s">
        <v>37</v>
      </c>
      <c r="Y17" s="3" t="s">
        <v>37</v>
      </c>
      <c r="Z17" s="3" t="s">
        <v>37</v>
      </c>
      <c r="AA17" s="3">
        <v>2</v>
      </c>
      <c r="AB17" s="3" t="s">
        <v>66</v>
      </c>
      <c r="AC17" s="3" t="s">
        <v>85</v>
      </c>
      <c r="AD17" s="3"/>
      <c r="AE17" s="3"/>
      <c r="AF17" s="3"/>
    </row>
    <row r="18" spans="1:32" ht="16" x14ac:dyDescent="0.2">
      <c r="A18" s="2">
        <v>46278.592669108803</v>
      </c>
      <c r="B18" s="3" t="s">
        <v>32</v>
      </c>
      <c r="C18" s="3" t="s">
        <v>42</v>
      </c>
      <c r="D18" s="3" t="s">
        <v>76</v>
      </c>
      <c r="E18" s="3" t="s">
        <v>68</v>
      </c>
      <c r="F18" s="3" t="s">
        <v>36</v>
      </c>
      <c r="G18" s="3" t="s">
        <v>46</v>
      </c>
      <c r="H18" s="3" t="s">
        <v>37</v>
      </c>
      <c r="I18" s="3" t="s">
        <v>46</v>
      </c>
      <c r="J18" s="3" t="s">
        <v>44</v>
      </c>
      <c r="K18" s="3" t="s">
        <v>44</v>
      </c>
      <c r="L18" s="3" t="s">
        <v>44</v>
      </c>
      <c r="M18" s="3" t="s">
        <v>45</v>
      </c>
      <c r="N18" s="3" t="s">
        <v>44</v>
      </c>
      <c r="O18" s="3" t="s">
        <v>44</v>
      </c>
      <c r="P18" s="3" t="s">
        <v>45</v>
      </c>
      <c r="Q18" s="3" t="s">
        <v>45</v>
      </c>
      <c r="R18" s="3" t="s">
        <v>45</v>
      </c>
      <c r="S18" s="3" t="s">
        <v>45</v>
      </c>
      <c r="T18" s="3" t="s">
        <v>45</v>
      </c>
      <c r="U18" s="3" t="s">
        <v>46</v>
      </c>
      <c r="V18" s="3" t="s">
        <v>46</v>
      </c>
      <c r="W18" s="3" t="s">
        <v>45</v>
      </c>
      <c r="X18" s="3" t="s">
        <v>45</v>
      </c>
      <c r="Y18" s="3" t="s">
        <v>45</v>
      </c>
      <c r="Z18" s="3" t="s">
        <v>45</v>
      </c>
      <c r="AA18" s="3">
        <v>5</v>
      </c>
      <c r="AB18" s="3"/>
      <c r="AC18" s="3"/>
      <c r="AD18" s="3"/>
      <c r="AE18" s="3"/>
      <c r="AF18" s="3"/>
    </row>
    <row r="19" spans="1:32" ht="48" x14ac:dyDescent="0.2">
      <c r="A19" s="2">
        <v>46278.5939531482</v>
      </c>
      <c r="B19" s="3" t="s">
        <v>32</v>
      </c>
      <c r="C19" s="3" t="s">
        <v>42</v>
      </c>
      <c r="D19" s="3" t="s">
        <v>34</v>
      </c>
      <c r="E19" s="3" t="s">
        <v>68</v>
      </c>
      <c r="F19" s="3" t="s">
        <v>71</v>
      </c>
      <c r="G19" s="3" t="s">
        <v>46</v>
      </c>
      <c r="H19" s="3" t="s">
        <v>44</v>
      </c>
      <c r="I19" s="3" t="s">
        <v>46</v>
      </c>
      <c r="J19" s="3" t="s">
        <v>44</v>
      </c>
      <c r="K19" s="3" t="s">
        <v>46</v>
      </c>
      <c r="L19" s="3" t="s">
        <v>45</v>
      </c>
      <c r="M19" s="3" t="s">
        <v>44</v>
      </c>
      <c r="N19" s="3" t="s">
        <v>45</v>
      </c>
      <c r="O19" s="3" t="s">
        <v>45</v>
      </c>
      <c r="P19" s="3" t="s">
        <v>45</v>
      </c>
      <c r="Q19" s="3" t="s">
        <v>45</v>
      </c>
      <c r="R19" s="3" t="s">
        <v>45</v>
      </c>
      <c r="S19" s="3" t="s">
        <v>45</v>
      </c>
      <c r="T19" s="3" t="s">
        <v>45</v>
      </c>
      <c r="U19" s="3" t="s">
        <v>46</v>
      </c>
      <c r="V19" s="3" t="s">
        <v>46</v>
      </c>
      <c r="W19" s="3" t="s">
        <v>45</v>
      </c>
      <c r="X19" s="3" t="s">
        <v>45</v>
      </c>
      <c r="Y19" s="3" t="s">
        <v>45</v>
      </c>
      <c r="Z19" s="3" t="s">
        <v>45</v>
      </c>
      <c r="AA19" s="3">
        <v>5</v>
      </c>
      <c r="AB19" s="3" t="s">
        <v>44</v>
      </c>
      <c r="AC19" s="3" t="s">
        <v>47</v>
      </c>
      <c r="AD19" s="3"/>
      <c r="AE19" s="3"/>
      <c r="AF19" s="3" t="s">
        <v>86</v>
      </c>
    </row>
    <row r="20" spans="1:32" ht="16" x14ac:dyDescent="0.2">
      <c r="A20" s="2">
        <v>46278.599448437497</v>
      </c>
      <c r="B20" s="3" t="s">
        <v>32</v>
      </c>
      <c r="C20" s="3" t="s">
        <v>33</v>
      </c>
      <c r="D20" s="3" t="s">
        <v>34</v>
      </c>
      <c r="E20" s="3" t="s">
        <v>68</v>
      </c>
      <c r="F20" s="3" t="s">
        <v>43</v>
      </c>
      <c r="G20" s="3" t="s">
        <v>37</v>
      </c>
      <c r="H20" s="3" t="s">
        <v>37</v>
      </c>
      <c r="I20" s="3" t="s">
        <v>37</v>
      </c>
      <c r="J20" s="3" t="s">
        <v>37</v>
      </c>
      <c r="K20" s="3" t="s">
        <v>37</v>
      </c>
      <c r="L20" s="3" t="s">
        <v>37</v>
      </c>
      <c r="M20" s="3" t="s">
        <v>37</v>
      </c>
      <c r="N20" s="3" t="s">
        <v>37</v>
      </c>
      <c r="O20" s="3" t="s">
        <v>37</v>
      </c>
      <c r="P20" s="3" t="s">
        <v>37</v>
      </c>
      <c r="Q20" s="3" t="s">
        <v>37</v>
      </c>
      <c r="R20" s="3" t="s">
        <v>37</v>
      </c>
      <c r="S20" s="3" t="s">
        <v>37</v>
      </c>
      <c r="T20" s="3" t="s">
        <v>37</v>
      </c>
      <c r="U20" s="3" t="s">
        <v>37</v>
      </c>
      <c r="V20" s="3" t="s">
        <v>37</v>
      </c>
      <c r="W20" s="3" t="s">
        <v>37</v>
      </c>
      <c r="X20" s="3" t="s">
        <v>37</v>
      </c>
      <c r="Y20" s="3" t="s">
        <v>37</v>
      </c>
      <c r="Z20" s="3" t="s">
        <v>37</v>
      </c>
      <c r="AA20" s="3">
        <v>3</v>
      </c>
      <c r="AB20" s="3" t="s">
        <v>37</v>
      </c>
      <c r="AC20" s="3" t="s">
        <v>38</v>
      </c>
      <c r="AD20" s="3" t="s">
        <v>82</v>
      </c>
      <c r="AE20" s="3" t="s">
        <v>82</v>
      </c>
      <c r="AF20" s="3" t="s">
        <v>82</v>
      </c>
    </row>
    <row r="21" spans="1:32" ht="16" x14ac:dyDescent="0.2">
      <c r="A21" s="2">
        <v>46278.606482638897</v>
      </c>
      <c r="B21" s="3" t="s">
        <v>32</v>
      </c>
      <c r="C21" s="3" t="s">
        <v>33</v>
      </c>
      <c r="D21" s="3" t="s">
        <v>34</v>
      </c>
      <c r="E21" s="3" t="s">
        <v>68</v>
      </c>
      <c r="F21" s="3" t="s">
        <v>36</v>
      </c>
      <c r="G21" s="3" t="s">
        <v>46</v>
      </c>
      <c r="H21" s="3" t="s">
        <v>37</v>
      </c>
      <c r="I21" s="3" t="s">
        <v>46</v>
      </c>
      <c r="J21" s="3" t="s">
        <v>46</v>
      </c>
      <c r="K21" s="3" t="s">
        <v>44</v>
      </c>
      <c r="L21" s="3" t="s">
        <v>44</v>
      </c>
      <c r="M21" s="3" t="s">
        <v>37</v>
      </c>
      <c r="N21" s="3" t="s">
        <v>37</v>
      </c>
      <c r="O21" s="3" t="s">
        <v>44</v>
      </c>
      <c r="P21" s="3" t="s">
        <v>45</v>
      </c>
      <c r="Q21" s="3" t="s">
        <v>45</v>
      </c>
      <c r="R21" s="3" t="s">
        <v>45</v>
      </c>
      <c r="S21" s="3" t="s">
        <v>45</v>
      </c>
      <c r="T21" s="3" t="s">
        <v>45</v>
      </c>
      <c r="U21" s="3" t="s">
        <v>46</v>
      </c>
      <c r="V21" s="3" t="s">
        <v>46</v>
      </c>
      <c r="W21" s="3" t="s">
        <v>45</v>
      </c>
      <c r="X21" s="3" t="s">
        <v>45</v>
      </c>
      <c r="Y21" s="3" t="s">
        <v>45</v>
      </c>
      <c r="Z21" s="3" t="s">
        <v>45</v>
      </c>
      <c r="AA21" s="3">
        <v>5</v>
      </c>
      <c r="AB21" s="3" t="s">
        <v>37</v>
      </c>
      <c r="AC21" s="3" t="s">
        <v>47</v>
      </c>
      <c r="AD21" s="3"/>
      <c r="AE21" s="3"/>
      <c r="AF21" s="3"/>
    </row>
    <row r="22" spans="1:32" ht="16" x14ac:dyDescent="0.2">
      <c r="A22" s="2">
        <v>46278.642587754599</v>
      </c>
      <c r="B22" s="3" t="s">
        <v>32</v>
      </c>
      <c r="C22" s="3" t="s">
        <v>42</v>
      </c>
      <c r="D22" s="3" t="s">
        <v>56</v>
      </c>
      <c r="E22" s="3" t="s">
        <v>77</v>
      </c>
      <c r="F22" s="3" t="s">
        <v>43</v>
      </c>
      <c r="G22" s="3" t="s">
        <v>37</v>
      </c>
      <c r="H22" s="3" t="s">
        <v>44</v>
      </c>
      <c r="I22" s="3" t="s">
        <v>44</v>
      </c>
      <c r="J22" s="3" t="s">
        <v>46</v>
      </c>
      <c r="K22" s="3" t="s">
        <v>46</v>
      </c>
      <c r="L22" s="3" t="s">
        <v>45</v>
      </c>
      <c r="M22" s="3" t="s">
        <v>45</v>
      </c>
      <c r="N22" s="3" t="s">
        <v>45</v>
      </c>
      <c r="O22" s="3" t="s">
        <v>45</v>
      </c>
      <c r="P22" s="3" t="s">
        <v>45</v>
      </c>
      <c r="Q22" s="3" t="s">
        <v>45</v>
      </c>
      <c r="R22" s="3" t="s">
        <v>45</v>
      </c>
      <c r="S22" s="3" t="s">
        <v>45</v>
      </c>
      <c r="T22" s="3" t="s">
        <v>45</v>
      </c>
      <c r="U22" s="3" t="s">
        <v>46</v>
      </c>
      <c r="V22" s="3"/>
      <c r="W22" s="3" t="s">
        <v>45</v>
      </c>
      <c r="X22" s="3" t="s">
        <v>45</v>
      </c>
      <c r="Y22" s="3" t="s">
        <v>45</v>
      </c>
      <c r="Z22" s="3" t="s">
        <v>45</v>
      </c>
      <c r="AA22" s="3">
        <v>5</v>
      </c>
      <c r="AB22" s="3" t="s">
        <v>45</v>
      </c>
      <c r="AC22" s="3" t="s">
        <v>53</v>
      </c>
      <c r="AD22" s="3"/>
      <c r="AE22" s="3"/>
      <c r="AF22" s="3"/>
    </row>
  </sheetData>
  <autoFilter ref="A1:AF22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customHeight="1" x14ac:dyDescent="0.2"/>
  <cols>
    <col min="1" max="1" width="28" customWidth="1"/>
    <col min="2" max="2" width="47" customWidth="1"/>
    <col min="3" max="5" width="55" customWidth="1"/>
    <col min="6" max="6" width="51" customWidth="1"/>
    <col min="7" max="29" width="55" customWidth="1"/>
  </cols>
  <sheetData>
    <row r="1" spans="1:29" ht="45" x14ac:dyDescent="0.2">
      <c r="A1" s="1" t="s">
        <v>0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12</v>
      </c>
      <c r="K1" s="1" t="s">
        <v>95</v>
      </c>
      <c r="L1" s="1" t="s">
        <v>96</v>
      </c>
      <c r="M1" s="1" t="s">
        <v>97</v>
      </c>
      <c r="N1" s="1" t="s">
        <v>98</v>
      </c>
      <c r="O1" s="1" t="s">
        <v>99</v>
      </c>
      <c r="P1" s="1" t="s">
        <v>100</v>
      </c>
      <c r="Q1" s="1" t="s">
        <v>19</v>
      </c>
      <c r="R1" s="1" t="s">
        <v>20</v>
      </c>
      <c r="S1" s="1" t="s">
        <v>101</v>
      </c>
      <c r="T1" s="1" t="s">
        <v>102</v>
      </c>
      <c r="U1" s="1" t="s">
        <v>103</v>
      </c>
      <c r="V1" s="1" t="s">
        <v>104</v>
      </c>
      <c r="W1" s="1" t="s">
        <v>105</v>
      </c>
      <c r="X1" s="1" t="s">
        <v>106</v>
      </c>
      <c r="Y1" s="1" t="s">
        <v>107</v>
      </c>
      <c r="Z1" s="1" t="s">
        <v>108</v>
      </c>
      <c r="AA1" s="1" t="s">
        <v>109</v>
      </c>
      <c r="AB1" s="1" t="s">
        <v>110</v>
      </c>
      <c r="AC1" s="1" t="s">
        <v>111</v>
      </c>
    </row>
    <row r="2" spans="1:29" ht="16" x14ac:dyDescent="0.2">
      <c r="A2" s="2">
        <v>46276.989788437502</v>
      </c>
      <c r="B2" s="3" t="s">
        <v>112</v>
      </c>
      <c r="C2" s="3" t="s">
        <v>113</v>
      </c>
      <c r="D2" s="3" t="s">
        <v>46</v>
      </c>
      <c r="E2" s="3" t="s">
        <v>44</v>
      </c>
      <c r="F2" s="3" t="s">
        <v>46</v>
      </c>
      <c r="G2" s="3" t="s">
        <v>45</v>
      </c>
      <c r="H2" s="3" t="s">
        <v>44</v>
      </c>
      <c r="I2" s="3" t="s">
        <v>45</v>
      </c>
      <c r="J2" s="3" t="s">
        <v>44</v>
      </c>
      <c r="K2" s="3" t="s">
        <v>37</v>
      </c>
      <c r="L2" s="3" t="s">
        <v>45</v>
      </c>
      <c r="M2" s="3" t="s">
        <v>45</v>
      </c>
      <c r="N2" s="3" t="s">
        <v>46</v>
      </c>
      <c r="O2" s="3" t="s">
        <v>46</v>
      </c>
      <c r="P2" s="3" t="s">
        <v>46</v>
      </c>
      <c r="Q2" s="3" t="s">
        <v>45</v>
      </c>
      <c r="R2" s="3" t="s">
        <v>46</v>
      </c>
      <c r="S2" s="3" t="s">
        <v>46</v>
      </c>
      <c r="T2" s="3" t="s">
        <v>46</v>
      </c>
      <c r="U2" s="3" t="s">
        <v>46</v>
      </c>
      <c r="V2" s="3" t="s">
        <v>46</v>
      </c>
      <c r="W2" s="3" t="s">
        <v>45</v>
      </c>
      <c r="X2" s="3">
        <v>5</v>
      </c>
      <c r="Y2" s="3" t="s">
        <v>46</v>
      </c>
      <c r="Z2" s="3" t="s">
        <v>114</v>
      </c>
      <c r="AA2" s="3" t="s">
        <v>115</v>
      </c>
      <c r="AB2" s="3"/>
      <c r="AC2" s="3" t="s">
        <v>116</v>
      </c>
    </row>
  </sheetData>
  <autoFilter ref="A1:AC2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2"/>
  <sheetViews>
    <sheetView zoomScaleNormal="100" workbookViewId="0">
      <pane ySplit="1" topLeftCell="A2" activePane="bottomLeft" state="frozen"/>
      <selection pane="bottomLeft" activeCell="G10" sqref="G10"/>
    </sheetView>
  </sheetViews>
  <sheetFormatPr baseColWidth="10" defaultColWidth="8.6640625" defaultRowHeight="15" customHeight="1" x14ac:dyDescent="0.2"/>
  <cols>
    <col min="1" max="1" width="25" customWidth="1"/>
    <col min="2" max="2" width="54" customWidth="1"/>
    <col min="3" max="3" width="44" customWidth="1"/>
    <col min="4" max="4" width="52" customWidth="1"/>
    <col min="5" max="5" width="55" customWidth="1"/>
    <col min="6" max="6" width="45" customWidth="1"/>
    <col min="7" max="32" width="55" customWidth="1"/>
  </cols>
  <sheetData>
    <row r="1" spans="1:32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16" x14ac:dyDescent="0.2">
      <c r="A2" s="2">
        <f>'Student Raw Data'!A2</f>
        <v>46276.834167963003</v>
      </c>
      <c r="B2" s="3" t="str">
        <f>'Student Raw Data'!B2</f>
        <v>Yes</v>
      </c>
      <c r="C2" s="3" t="str">
        <f>'Student Raw Data'!C2</f>
        <v>PGDM</v>
      </c>
      <c r="D2" s="3" t="str">
        <f>'Student Raw Data'!D2</f>
        <v>Less than once a week</v>
      </c>
      <c r="E2" s="3" t="str">
        <f>'Student Raw Data'!E2</f>
        <v>Less than 1 month</v>
      </c>
      <c r="F2" s="3" t="str">
        <f>'Student Raw Data'!F2</f>
        <v>No specific preference</v>
      </c>
      <c r="G2" s="3">
        <f>IF('Student Raw Data'!G2="","",IF(OR(TRIM('Student Raw Data'!G2)="Strongly disagree",TRIM('Student Raw Data'!G2)="Strongly Disagree"),1,IF(TRIM('Student Raw Data'!G2)="Disagree",2,IF(OR(TRIM('Student Raw Data'!G2)="Neutral",TRIM('Student Raw Data'!G2)="Neither Agree nor Disagree"),3,IF(TRIM('Student Raw Data'!G2)="Agree",4,IF(OR(TRIM('Student Raw Data'!G2)="Strongly agree",TRIM('Student Raw Data'!G2)="Strongly Agree"),5,""))))))</f>
        <v>3</v>
      </c>
      <c r="H2" s="3">
        <f>IF('Student Raw Data'!H2="","",IF(OR(TRIM('Student Raw Data'!H2)="Strongly disagree",TRIM('Student Raw Data'!H2)="Strongly Disagree"),1,IF(TRIM('Student Raw Data'!H2)="Disagree",2,IF(OR(TRIM('Student Raw Data'!H2)="Neutral",TRIM('Student Raw Data'!H2)="Neither Agree nor Disagree"),3,IF(TRIM('Student Raw Data'!H2)="Agree",4,IF(OR(TRIM('Student Raw Data'!H2)="Strongly agree",TRIM('Student Raw Data'!H2)="Strongly Agree"),5,""))))))</f>
        <v>3</v>
      </c>
      <c r="I2" s="3">
        <f>IF('Student Raw Data'!I2="","",IF(OR(TRIM('Student Raw Data'!I2)="Strongly disagree",TRIM('Student Raw Data'!I2)="Strongly Disagree"),1,IF(TRIM('Student Raw Data'!I2)="Disagree",2,IF(OR(TRIM('Student Raw Data'!I2)="Neutral",TRIM('Student Raw Data'!I2)="Neither Agree nor Disagree"),3,IF(TRIM('Student Raw Data'!I2)="Agree",4,IF(OR(TRIM('Student Raw Data'!I2)="Strongly agree",TRIM('Student Raw Data'!I2)="Strongly Agree"),5,""))))))</f>
        <v>3</v>
      </c>
      <c r="J2" s="3">
        <f>IF('Student Raw Data'!J2="","",IF(OR(TRIM('Student Raw Data'!J2)="Strongly disagree",TRIM('Student Raw Data'!J2)="Strongly Disagree"),1,IF(TRIM('Student Raw Data'!J2)="Disagree",2,IF(OR(TRIM('Student Raw Data'!J2)="Neutral",TRIM('Student Raw Data'!J2)="Neither Agree nor Disagree"),3,IF(TRIM('Student Raw Data'!J2)="Agree",4,IF(OR(TRIM('Student Raw Data'!J2)="Strongly agree",TRIM('Student Raw Data'!J2)="Strongly Agree"),5,""))))))</f>
        <v>3</v>
      </c>
      <c r="K2" s="3">
        <f>IF('Student Raw Data'!K2="","",IF(OR(TRIM('Student Raw Data'!K2)="Strongly disagree",TRIM('Student Raw Data'!K2)="Strongly Disagree"),1,IF(TRIM('Student Raw Data'!K2)="Disagree",2,IF(OR(TRIM('Student Raw Data'!K2)="Neutral",TRIM('Student Raw Data'!K2)="Neither Agree nor Disagree"),3,IF(TRIM('Student Raw Data'!K2)="Agree",4,IF(OR(TRIM('Student Raw Data'!K2)="Strongly agree",TRIM('Student Raw Data'!K2)="Strongly Agree"),5,""))))))</f>
        <v>3</v>
      </c>
      <c r="L2" s="3">
        <f>IF('Student Raw Data'!L2="","",IF(OR(TRIM('Student Raw Data'!L2)="Strongly disagree",TRIM('Student Raw Data'!L2)="Strongly Disagree"),1,IF(TRIM('Student Raw Data'!L2)="Disagree",2,IF(OR(TRIM('Student Raw Data'!L2)="Neutral",TRIM('Student Raw Data'!L2)="Neither Agree nor Disagree"),3,IF(TRIM('Student Raw Data'!L2)="Agree",4,IF(OR(TRIM('Student Raw Data'!L2)="Strongly agree",TRIM('Student Raw Data'!L2)="Strongly Agree"),5,""))))))</f>
        <v>3</v>
      </c>
      <c r="M2" s="3">
        <f>IF('Student Raw Data'!M2="","",IF(OR(TRIM('Student Raw Data'!M2)="Strongly disagree",TRIM('Student Raw Data'!M2)="Strongly Disagree"),1,IF(TRIM('Student Raw Data'!M2)="Disagree",2,IF(OR(TRIM('Student Raw Data'!M2)="Neutral",TRIM('Student Raw Data'!M2)="Neither Agree nor Disagree"),3,IF(TRIM('Student Raw Data'!M2)="Agree",4,IF(OR(TRIM('Student Raw Data'!M2)="Strongly agree",TRIM('Student Raw Data'!M2)="Strongly Agree"),5,""))))))</f>
        <v>3</v>
      </c>
      <c r="N2" s="3">
        <f>IF('Student Raw Data'!N2="","",IF(OR(TRIM('Student Raw Data'!N2)="Strongly disagree",TRIM('Student Raw Data'!N2)="Strongly Disagree"),1,IF(TRIM('Student Raw Data'!N2)="Disagree",2,IF(OR(TRIM('Student Raw Data'!N2)="Neutral",TRIM('Student Raw Data'!N2)="Neither Agree nor Disagree"),3,IF(TRIM('Student Raw Data'!N2)="Agree",4,IF(OR(TRIM('Student Raw Data'!N2)="Strongly agree",TRIM('Student Raw Data'!N2)="Strongly Agree"),5,""))))))</f>
        <v>3</v>
      </c>
      <c r="O2" s="3">
        <f>IF('Student Raw Data'!O2="","",IF(OR(TRIM('Student Raw Data'!O2)="Strongly disagree",TRIM('Student Raw Data'!O2)="Strongly Disagree"),1,IF(TRIM('Student Raw Data'!O2)="Disagree",2,IF(OR(TRIM('Student Raw Data'!O2)="Neutral",TRIM('Student Raw Data'!O2)="Neither Agree nor Disagree"),3,IF(TRIM('Student Raw Data'!O2)="Agree",4,IF(OR(TRIM('Student Raw Data'!O2)="Strongly agree",TRIM('Student Raw Data'!O2)="Strongly Agree"),5,""))))))</f>
        <v>3</v>
      </c>
      <c r="P2" s="3">
        <f>IF('Student Raw Data'!P2="","",IF(OR(TRIM('Student Raw Data'!P2)="Strongly disagree",TRIM('Student Raw Data'!P2)="Strongly Disagree"),1,IF(TRIM('Student Raw Data'!P2)="Disagree",2,IF(OR(TRIM('Student Raw Data'!P2)="Neutral",TRIM('Student Raw Data'!P2)="Neither Agree nor Disagree"),3,IF(TRIM('Student Raw Data'!P2)="Agree",4,IF(OR(TRIM('Student Raw Data'!P2)="Strongly agree",TRIM('Student Raw Data'!P2)="Strongly Agree"),5,""))))))</f>
        <v>3</v>
      </c>
      <c r="Q2" s="3">
        <f>IF('Student Raw Data'!Q2="","",IF(OR(TRIM('Student Raw Data'!Q2)="Strongly disagree",TRIM('Student Raw Data'!Q2)="Strongly Disagree"),1,IF(TRIM('Student Raw Data'!Q2)="Disagree",2,IF(OR(TRIM('Student Raw Data'!Q2)="Neutral",TRIM('Student Raw Data'!Q2)="Neither Agree nor Disagree"),3,IF(TRIM('Student Raw Data'!Q2)="Agree",4,IF(OR(TRIM('Student Raw Data'!Q2)="Strongly agree",TRIM('Student Raw Data'!Q2)="Strongly Agree"),5,""))))))</f>
        <v>3</v>
      </c>
      <c r="R2" s="3">
        <f>IF('Student Raw Data'!R2="","",IF(OR(TRIM('Student Raw Data'!R2)="Strongly disagree",TRIM('Student Raw Data'!R2)="Strongly Disagree"),1,IF(TRIM('Student Raw Data'!R2)="Disagree",2,IF(OR(TRIM('Student Raw Data'!R2)="Neutral",TRIM('Student Raw Data'!R2)="Neither Agree nor Disagree"),3,IF(TRIM('Student Raw Data'!R2)="Agree",4,IF(OR(TRIM('Student Raw Data'!R2)="Strongly agree",TRIM('Student Raw Data'!R2)="Strongly Agree"),5,""))))))</f>
        <v>3</v>
      </c>
      <c r="S2" s="3">
        <f>IF('Student Raw Data'!S2="","",IF(OR(TRIM('Student Raw Data'!S2)="Strongly disagree",TRIM('Student Raw Data'!S2)="Strongly Disagree"),1,IF(TRIM('Student Raw Data'!S2)="Disagree",2,IF(OR(TRIM('Student Raw Data'!S2)="Neutral",TRIM('Student Raw Data'!S2)="Neither Agree nor Disagree"),3,IF(TRIM('Student Raw Data'!S2)="Agree",4,IF(OR(TRIM('Student Raw Data'!S2)="Strongly agree",TRIM('Student Raw Data'!S2)="Strongly Agree"),5,""))))))</f>
        <v>3</v>
      </c>
      <c r="T2" s="3">
        <f>IF('Student Raw Data'!T2="","",IF(OR(TRIM('Student Raw Data'!T2)="Strongly disagree",TRIM('Student Raw Data'!T2)="Strongly Disagree"),1,IF(TRIM('Student Raw Data'!T2)="Disagree",2,IF(OR(TRIM('Student Raw Data'!T2)="Neutral",TRIM('Student Raw Data'!T2)="Neither Agree nor Disagree"),3,IF(TRIM('Student Raw Data'!T2)="Agree",4,IF(OR(TRIM('Student Raw Data'!T2)="Strongly agree",TRIM('Student Raw Data'!T2)="Strongly Agree"),5,""))))))</f>
        <v>3</v>
      </c>
      <c r="U2" s="3">
        <f>IF('Student Raw Data'!U2="","",IF(OR(TRIM('Student Raw Data'!U2)="Strongly disagree",TRIM('Student Raw Data'!U2)="Strongly Disagree"),1,IF(TRIM('Student Raw Data'!U2)="Disagree",2,IF(OR(TRIM('Student Raw Data'!U2)="Neutral",TRIM('Student Raw Data'!U2)="Neither Agree nor Disagree"),3,IF(TRIM('Student Raw Data'!U2)="Agree",4,IF(OR(TRIM('Student Raw Data'!U2)="Strongly agree",TRIM('Student Raw Data'!U2)="Strongly Agree"),5,""))))))</f>
        <v>3</v>
      </c>
      <c r="V2" s="3">
        <f>IF('Student Raw Data'!V2="","",IF(OR(TRIM('Student Raw Data'!V2)="Strongly disagree",TRIM('Student Raw Data'!V2)="Strongly Disagree"),1,IF(TRIM('Student Raw Data'!V2)="Disagree",2,IF(OR(TRIM('Student Raw Data'!V2)="Neutral",TRIM('Student Raw Data'!V2)="Neither Agree nor Disagree"),3,IF(TRIM('Student Raw Data'!V2)="Agree",4,IF(OR(TRIM('Student Raw Data'!V2)="Strongly agree",TRIM('Student Raw Data'!V2)="Strongly Agree"),5,""))))))</f>
        <v>3</v>
      </c>
      <c r="W2" s="3">
        <f>IF('Student Raw Data'!W2="","",IF(OR(TRIM('Student Raw Data'!W2)="Strongly disagree",TRIM('Student Raw Data'!W2)="Strongly Disagree"),1,IF(TRIM('Student Raw Data'!W2)="Disagree",2,IF(OR(TRIM('Student Raw Data'!W2)="Neutral",TRIM('Student Raw Data'!W2)="Neither Agree nor Disagree"),3,IF(TRIM('Student Raw Data'!W2)="Agree",4,IF(OR(TRIM('Student Raw Data'!W2)="Strongly agree",TRIM('Student Raw Data'!W2)="Strongly Agree"),5,""))))))</f>
        <v>3</v>
      </c>
      <c r="X2" s="3">
        <f>IF('Student Raw Data'!X2="","",IF(OR(TRIM('Student Raw Data'!X2)="Strongly disagree",TRIM('Student Raw Data'!X2)="Strongly Disagree"),1,IF(TRIM('Student Raw Data'!X2)="Disagree",2,IF(OR(TRIM('Student Raw Data'!X2)="Neutral",TRIM('Student Raw Data'!X2)="Neither Agree nor Disagree"),3,IF(TRIM('Student Raw Data'!X2)="Agree",4,IF(OR(TRIM('Student Raw Data'!X2)="Strongly agree",TRIM('Student Raw Data'!X2)="Strongly Agree"),5,""))))))</f>
        <v>3</v>
      </c>
      <c r="Y2" s="3">
        <f>IF('Student Raw Data'!Y2="","",IF(OR(TRIM('Student Raw Data'!Y2)="Strongly disagree",TRIM('Student Raw Data'!Y2)="Strongly Disagree"),1,IF(TRIM('Student Raw Data'!Y2)="Disagree",2,IF(OR(TRIM('Student Raw Data'!Y2)="Neutral",TRIM('Student Raw Data'!Y2)="Neither Agree nor Disagree"),3,IF(TRIM('Student Raw Data'!Y2)="Agree",4,IF(OR(TRIM('Student Raw Data'!Y2)="Strongly agree",TRIM('Student Raw Data'!Y2)="Strongly Agree"),5,""))))))</f>
        <v>3</v>
      </c>
      <c r="Z2" s="3">
        <f>IF('Student Raw Data'!Z2="","",IF(OR(TRIM('Student Raw Data'!Z2)="Strongly disagree",TRIM('Student Raw Data'!Z2)="Strongly Disagree"),1,IF(TRIM('Student Raw Data'!Z2)="Disagree",2,IF(OR(TRIM('Student Raw Data'!Z2)="Neutral",TRIM('Student Raw Data'!Z2)="Neither Agree nor Disagree"),3,IF(TRIM('Student Raw Data'!Z2)="Agree",4,IF(OR(TRIM('Student Raw Data'!Z2)="Strongly agree",TRIM('Student Raw Data'!Z2)="Strongly Agree"),5,""))))))</f>
        <v>3</v>
      </c>
      <c r="AA2" s="3">
        <f>'Student Raw Data'!AA2</f>
        <v>5</v>
      </c>
      <c r="AB2" s="3" t="str">
        <f>'Student Raw Data'!AB2</f>
        <v>Neutral</v>
      </c>
      <c r="AC2" s="3" t="str">
        <f>'Student Raw Data'!AC2</f>
        <v>Not Sure</v>
      </c>
      <c r="AD2" s="3" t="str">
        <f>'Student Raw Data'!AD2</f>
        <v xml:space="preserve">Issue with space </v>
      </c>
      <c r="AE2" s="3" t="str">
        <f>'Student Raw Data'!AE2</f>
        <v>Nothing to much</v>
      </c>
      <c r="AF2" s="3" t="str">
        <f>'Student Raw Data'!AF2</f>
        <v xml:space="preserve">Nothing </v>
      </c>
    </row>
    <row r="3" spans="1:32" ht="32" x14ac:dyDescent="0.2">
      <c r="A3" s="2">
        <f>'Student Raw Data'!A3</f>
        <v>46276.835261215303</v>
      </c>
      <c r="B3" s="3" t="str">
        <f>'Student Raw Data'!B3</f>
        <v>Yes</v>
      </c>
      <c r="C3" s="3" t="str">
        <f>'Student Raw Data'!C3</f>
        <v>PGDM-FM</v>
      </c>
      <c r="D3" s="3" t="str">
        <f>'Student Raw Data'!D3</f>
        <v>Less than once a week</v>
      </c>
      <c r="E3" s="3" t="str">
        <f>'Student Raw Data'!E3</f>
        <v>Less than 1 month</v>
      </c>
      <c r="F3" s="3" t="str">
        <f>'Student Raw Data'!F3</f>
        <v>Evening</v>
      </c>
      <c r="G3" s="3">
        <f>IF('Student Raw Data'!G3="","",IF(OR(TRIM('Student Raw Data'!G3)="Strongly disagree",TRIM('Student Raw Data'!G3)="Strongly Disagree"),1,IF(TRIM('Student Raw Data'!G3)="Disagree",2,IF(OR(TRIM('Student Raw Data'!G3)="Neutral",TRIM('Student Raw Data'!G3)="Neither Agree nor Disagree"),3,IF(TRIM('Student Raw Data'!G3)="Agree",4,IF(OR(TRIM('Student Raw Data'!G3)="Strongly agree",TRIM('Student Raw Data'!G3)="Strongly Agree"),5,""))))))</f>
        <v>3</v>
      </c>
      <c r="H3" s="3">
        <f>IF('Student Raw Data'!H3="","",IF(OR(TRIM('Student Raw Data'!H3)="Strongly disagree",TRIM('Student Raw Data'!H3)="Strongly Disagree"),1,IF(TRIM('Student Raw Data'!H3)="Disagree",2,IF(OR(TRIM('Student Raw Data'!H3)="Neutral",TRIM('Student Raw Data'!H3)="Neither Agree nor Disagree"),3,IF(TRIM('Student Raw Data'!H3)="Agree",4,IF(OR(TRIM('Student Raw Data'!H3)="Strongly agree",TRIM('Student Raw Data'!H3)="Strongly Agree"),5,""))))))</f>
        <v>3</v>
      </c>
      <c r="I3" s="3">
        <f>IF('Student Raw Data'!I3="","",IF(OR(TRIM('Student Raw Data'!I3)="Strongly disagree",TRIM('Student Raw Data'!I3)="Strongly Disagree"),1,IF(TRIM('Student Raw Data'!I3)="Disagree",2,IF(OR(TRIM('Student Raw Data'!I3)="Neutral",TRIM('Student Raw Data'!I3)="Neither Agree nor Disagree"),3,IF(TRIM('Student Raw Data'!I3)="Agree",4,IF(OR(TRIM('Student Raw Data'!I3)="Strongly agree",TRIM('Student Raw Data'!I3)="Strongly Agree"),5,""))))))</f>
        <v>4</v>
      </c>
      <c r="J3" s="3">
        <f>IF('Student Raw Data'!J3="","",IF(OR(TRIM('Student Raw Data'!J3)="Strongly disagree",TRIM('Student Raw Data'!J3)="Strongly Disagree"),1,IF(TRIM('Student Raw Data'!J3)="Disagree",2,IF(OR(TRIM('Student Raw Data'!J3)="Neutral",TRIM('Student Raw Data'!J3)="Neither Agree nor Disagree"),3,IF(TRIM('Student Raw Data'!J3)="Agree",4,IF(OR(TRIM('Student Raw Data'!J3)="Strongly agree",TRIM('Student Raw Data'!J3)="Strongly Agree"),5,""))))))</f>
        <v>4</v>
      </c>
      <c r="K3" s="3">
        <f>IF('Student Raw Data'!K3="","",IF(OR(TRIM('Student Raw Data'!K3)="Strongly disagree",TRIM('Student Raw Data'!K3)="Strongly Disagree"),1,IF(TRIM('Student Raw Data'!K3)="Disagree",2,IF(OR(TRIM('Student Raw Data'!K3)="Neutral",TRIM('Student Raw Data'!K3)="Neither Agree nor Disagree"),3,IF(TRIM('Student Raw Data'!K3)="Agree",4,IF(OR(TRIM('Student Raw Data'!K3)="Strongly agree",TRIM('Student Raw Data'!K3)="Strongly Agree"),5,""))))))</f>
        <v>3</v>
      </c>
      <c r="L3" s="3">
        <f>IF('Student Raw Data'!L3="","",IF(OR(TRIM('Student Raw Data'!L3)="Strongly disagree",TRIM('Student Raw Data'!L3)="Strongly Disagree"),1,IF(TRIM('Student Raw Data'!L3)="Disagree",2,IF(OR(TRIM('Student Raw Data'!L3)="Neutral",TRIM('Student Raw Data'!L3)="Neither Agree nor Disagree"),3,IF(TRIM('Student Raw Data'!L3)="Agree",4,IF(OR(TRIM('Student Raw Data'!L3)="Strongly agree",TRIM('Student Raw Data'!L3)="Strongly Agree"),5,""))))))</f>
        <v>4</v>
      </c>
      <c r="M3" s="3">
        <f>IF('Student Raw Data'!M3="","",IF(OR(TRIM('Student Raw Data'!M3)="Strongly disagree",TRIM('Student Raw Data'!M3)="Strongly Disagree"),1,IF(TRIM('Student Raw Data'!M3)="Disagree",2,IF(OR(TRIM('Student Raw Data'!M3)="Neutral",TRIM('Student Raw Data'!M3)="Neither Agree nor Disagree"),3,IF(TRIM('Student Raw Data'!M3)="Agree",4,IF(OR(TRIM('Student Raw Data'!M3)="Strongly agree",TRIM('Student Raw Data'!M3)="Strongly Agree"),5,""))))))</f>
        <v>4</v>
      </c>
      <c r="N3" s="3">
        <f>IF('Student Raw Data'!N3="","",IF(OR(TRIM('Student Raw Data'!N3)="Strongly disagree",TRIM('Student Raw Data'!N3)="Strongly Disagree"),1,IF(TRIM('Student Raw Data'!N3)="Disagree",2,IF(OR(TRIM('Student Raw Data'!N3)="Neutral",TRIM('Student Raw Data'!N3)="Neither Agree nor Disagree"),3,IF(TRIM('Student Raw Data'!N3)="Agree",4,IF(OR(TRIM('Student Raw Data'!N3)="Strongly agree",TRIM('Student Raw Data'!N3)="Strongly Agree"),5,""))))))</f>
        <v>4</v>
      </c>
      <c r="O3" s="3">
        <f>IF('Student Raw Data'!O3="","",IF(OR(TRIM('Student Raw Data'!O3)="Strongly disagree",TRIM('Student Raw Data'!O3)="Strongly Disagree"),1,IF(TRIM('Student Raw Data'!O3)="Disagree",2,IF(OR(TRIM('Student Raw Data'!O3)="Neutral",TRIM('Student Raw Data'!O3)="Neither Agree nor Disagree"),3,IF(TRIM('Student Raw Data'!O3)="Agree",4,IF(OR(TRIM('Student Raw Data'!O3)="Strongly agree",TRIM('Student Raw Data'!O3)="Strongly Agree"),5,""))))))</f>
        <v>4</v>
      </c>
      <c r="P3" s="3">
        <f>IF('Student Raw Data'!P3="","",IF(OR(TRIM('Student Raw Data'!P3)="Strongly disagree",TRIM('Student Raw Data'!P3)="Strongly Disagree"),1,IF(TRIM('Student Raw Data'!P3)="Disagree",2,IF(OR(TRIM('Student Raw Data'!P3)="Neutral",TRIM('Student Raw Data'!P3)="Neither Agree nor Disagree"),3,IF(TRIM('Student Raw Data'!P3)="Agree",4,IF(OR(TRIM('Student Raw Data'!P3)="Strongly agree",TRIM('Student Raw Data'!P3)="Strongly Agree"),5,""))))))</f>
        <v>5</v>
      </c>
      <c r="Q3" s="3">
        <f>IF('Student Raw Data'!Q3="","",IF(OR(TRIM('Student Raw Data'!Q3)="Strongly disagree",TRIM('Student Raw Data'!Q3)="Strongly Disagree"),1,IF(TRIM('Student Raw Data'!Q3)="Disagree",2,IF(OR(TRIM('Student Raw Data'!Q3)="Neutral",TRIM('Student Raw Data'!Q3)="Neither Agree nor Disagree"),3,IF(TRIM('Student Raw Data'!Q3)="Agree",4,IF(OR(TRIM('Student Raw Data'!Q3)="Strongly agree",TRIM('Student Raw Data'!Q3)="Strongly Agree"),5,""))))))</f>
        <v>4</v>
      </c>
      <c r="R3" s="3">
        <f>IF('Student Raw Data'!R3="","",IF(OR(TRIM('Student Raw Data'!R3)="Strongly disagree",TRIM('Student Raw Data'!R3)="Strongly Disagree"),1,IF(TRIM('Student Raw Data'!R3)="Disagree",2,IF(OR(TRIM('Student Raw Data'!R3)="Neutral",TRIM('Student Raw Data'!R3)="Neither Agree nor Disagree"),3,IF(TRIM('Student Raw Data'!R3)="Agree",4,IF(OR(TRIM('Student Raw Data'!R3)="Strongly agree",TRIM('Student Raw Data'!R3)="Strongly Agree"),5,""))))))</f>
        <v>5</v>
      </c>
      <c r="S3" s="3">
        <f>IF('Student Raw Data'!S3="","",IF(OR(TRIM('Student Raw Data'!S3)="Strongly disagree",TRIM('Student Raw Data'!S3)="Strongly Disagree"),1,IF(TRIM('Student Raw Data'!S3)="Disagree",2,IF(OR(TRIM('Student Raw Data'!S3)="Neutral",TRIM('Student Raw Data'!S3)="Neither Agree nor Disagree"),3,IF(TRIM('Student Raw Data'!S3)="Agree",4,IF(OR(TRIM('Student Raw Data'!S3)="Strongly agree",TRIM('Student Raw Data'!S3)="Strongly Agree"),5,""))))))</f>
        <v>5</v>
      </c>
      <c r="T3" s="3">
        <f>IF('Student Raw Data'!T3="","",IF(OR(TRIM('Student Raw Data'!T3)="Strongly disagree",TRIM('Student Raw Data'!T3)="Strongly Disagree"),1,IF(TRIM('Student Raw Data'!T3)="Disagree",2,IF(OR(TRIM('Student Raw Data'!T3)="Neutral",TRIM('Student Raw Data'!T3)="Neither Agree nor Disagree"),3,IF(TRIM('Student Raw Data'!T3)="Agree",4,IF(OR(TRIM('Student Raw Data'!T3)="Strongly agree",TRIM('Student Raw Data'!T3)="Strongly Agree"),5,""))))))</f>
        <v>5</v>
      </c>
      <c r="U3" s="3">
        <f>IF('Student Raw Data'!U3="","",IF(OR(TRIM('Student Raw Data'!U3)="Strongly disagree",TRIM('Student Raw Data'!U3)="Strongly Disagree"),1,IF(TRIM('Student Raw Data'!U3)="Disagree",2,IF(OR(TRIM('Student Raw Data'!U3)="Neutral",TRIM('Student Raw Data'!U3)="Neither Agree nor Disagree"),3,IF(TRIM('Student Raw Data'!U3)="Agree",4,IF(OR(TRIM('Student Raw Data'!U3)="Strongly agree",TRIM('Student Raw Data'!U3)="Strongly Agree"),5,""))))))</f>
        <v>5</v>
      </c>
      <c r="V3" s="3">
        <f>IF('Student Raw Data'!V3="","",IF(OR(TRIM('Student Raw Data'!V3)="Strongly disagree",TRIM('Student Raw Data'!V3)="Strongly Disagree"),1,IF(TRIM('Student Raw Data'!V3)="Disagree",2,IF(OR(TRIM('Student Raw Data'!V3)="Neutral",TRIM('Student Raw Data'!V3)="Neither Agree nor Disagree"),3,IF(TRIM('Student Raw Data'!V3)="Agree",4,IF(OR(TRIM('Student Raw Data'!V3)="Strongly agree",TRIM('Student Raw Data'!V3)="Strongly Agree"),5,""))))))</f>
        <v>5</v>
      </c>
      <c r="W3" s="3">
        <f>IF('Student Raw Data'!W3="","",IF(OR(TRIM('Student Raw Data'!W3)="Strongly disagree",TRIM('Student Raw Data'!W3)="Strongly Disagree"),1,IF(TRIM('Student Raw Data'!W3)="Disagree",2,IF(OR(TRIM('Student Raw Data'!W3)="Neutral",TRIM('Student Raw Data'!W3)="Neither Agree nor Disagree"),3,IF(TRIM('Student Raw Data'!W3)="Agree",4,IF(OR(TRIM('Student Raw Data'!W3)="Strongly agree",TRIM('Student Raw Data'!W3)="Strongly Agree"),5,""))))))</f>
        <v>4</v>
      </c>
      <c r="X3" s="3">
        <f>IF('Student Raw Data'!X3="","",IF(OR(TRIM('Student Raw Data'!X3)="Strongly disagree",TRIM('Student Raw Data'!X3)="Strongly Disagree"),1,IF(TRIM('Student Raw Data'!X3)="Disagree",2,IF(OR(TRIM('Student Raw Data'!X3)="Neutral",TRIM('Student Raw Data'!X3)="Neither Agree nor Disagree"),3,IF(TRIM('Student Raw Data'!X3)="Agree",4,IF(OR(TRIM('Student Raw Data'!X3)="Strongly agree",TRIM('Student Raw Data'!X3)="Strongly Agree"),5,""))))))</f>
        <v>5</v>
      </c>
      <c r="Y3" s="3">
        <f>IF('Student Raw Data'!Y3="","",IF(OR(TRIM('Student Raw Data'!Y3)="Strongly disagree",TRIM('Student Raw Data'!Y3)="Strongly Disagree"),1,IF(TRIM('Student Raw Data'!Y3)="Disagree",2,IF(OR(TRIM('Student Raw Data'!Y3)="Neutral",TRIM('Student Raw Data'!Y3)="Neither Agree nor Disagree"),3,IF(TRIM('Student Raw Data'!Y3)="Agree",4,IF(OR(TRIM('Student Raw Data'!Y3)="Strongly agree",TRIM('Student Raw Data'!Y3)="Strongly Agree"),5,""))))))</f>
        <v>5</v>
      </c>
      <c r="Z3" s="3">
        <f>IF('Student Raw Data'!Z3="","",IF(OR(TRIM('Student Raw Data'!Z3)="Strongly disagree",TRIM('Student Raw Data'!Z3)="Strongly Disagree"),1,IF(TRIM('Student Raw Data'!Z3)="Disagree",2,IF(OR(TRIM('Student Raw Data'!Z3)="Neutral",TRIM('Student Raw Data'!Z3)="Neither Agree nor Disagree"),3,IF(TRIM('Student Raw Data'!Z3)="Agree",4,IF(OR(TRIM('Student Raw Data'!Z3)="Strongly agree",TRIM('Student Raw Data'!Z3)="Strongly Agree"),5,""))))))</f>
        <v>5</v>
      </c>
      <c r="AA3" s="3">
        <f>'Student Raw Data'!AA3</f>
        <v>4</v>
      </c>
      <c r="AB3" s="3" t="str">
        <f>'Student Raw Data'!AB3</f>
        <v>Agree</v>
      </c>
      <c r="AC3" s="3" t="str">
        <f>'Student Raw Data'!AC3</f>
        <v>Probably Yes</v>
      </c>
      <c r="AD3" s="3" t="str">
        <f>'Student Raw Data'!AD3</f>
        <v>It gets very crowded during peak hours, and there is often a long wait time to use popular equipment like dumbbells, benches, or cables</v>
      </c>
      <c r="AE3" s="3" t="str">
        <f>'Student Raw Data'!AE3</f>
        <v>Adding a few more sets of popular weights and benches would greatly improve the experience and reduce waiting</v>
      </c>
      <c r="AF3" s="3" t="str">
        <f>'Student Raw Data'!AF3</f>
        <v>Overall, the gym is a great facility, but managing peak-hour traffic or adding a real-time crowd tracker could help.</v>
      </c>
    </row>
    <row r="4" spans="1:32" ht="16" x14ac:dyDescent="0.2">
      <c r="A4" s="2">
        <f>'Student Raw Data'!A4</f>
        <v>46276.873268113399</v>
      </c>
      <c r="B4" s="3" t="str">
        <f>'Student Raw Data'!B4</f>
        <v>Yes</v>
      </c>
      <c r="C4" s="3" t="str">
        <f>'Student Raw Data'!C4</f>
        <v>PGDM</v>
      </c>
      <c r="D4" s="3" t="str">
        <f>'Student Raw Data'!D4</f>
        <v>4-5 times a week</v>
      </c>
      <c r="E4" s="3" t="str">
        <f>'Student Raw Data'!E4</f>
        <v>1–3 months</v>
      </c>
      <c r="F4" s="3" t="str">
        <f>'Student Raw Data'!F4</f>
        <v>Evening</v>
      </c>
      <c r="G4" s="3">
        <f>IF('Student Raw Data'!G4="","",IF(OR(TRIM('Student Raw Data'!G4)="Strongly disagree",TRIM('Student Raw Data'!G4)="Strongly Disagree"),1,IF(TRIM('Student Raw Data'!G4)="Disagree",2,IF(OR(TRIM('Student Raw Data'!G4)="Neutral",TRIM('Student Raw Data'!G4)="Neither Agree nor Disagree"),3,IF(TRIM('Student Raw Data'!G4)="Agree",4,IF(OR(TRIM('Student Raw Data'!G4)="Strongly agree",TRIM('Student Raw Data'!G4)="Strongly Agree"),5,""))))))</f>
        <v>4</v>
      </c>
      <c r="H4" s="3">
        <f>IF('Student Raw Data'!H4="","",IF(OR(TRIM('Student Raw Data'!H4)="Strongly disagree",TRIM('Student Raw Data'!H4)="Strongly Disagree"),1,IF(TRIM('Student Raw Data'!H4)="Disagree",2,IF(OR(TRIM('Student Raw Data'!H4)="Neutral",TRIM('Student Raw Data'!H4)="Neither Agree nor Disagree"),3,IF(TRIM('Student Raw Data'!H4)="Agree",4,IF(OR(TRIM('Student Raw Data'!H4)="Strongly agree",TRIM('Student Raw Data'!H4)="Strongly Agree"),5,""))))))</f>
        <v>3</v>
      </c>
      <c r="I4" s="3">
        <f>IF('Student Raw Data'!I4="","",IF(OR(TRIM('Student Raw Data'!I4)="Strongly disagree",TRIM('Student Raw Data'!I4)="Strongly Disagree"),1,IF(TRIM('Student Raw Data'!I4)="Disagree",2,IF(OR(TRIM('Student Raw Data'!I4)="Neutral",TRIM('Student Raw Data'!I4)="Neither Agree nor Disagree"),3,IF(TRIM('Student Raw Data'!I4)="Agree",4,IF(OR(TRIM('Student Raw Data'!I4)="Strongly agree",TRIM('Student Raw Data'!I4)="Strongly Agree"),5,""))))))</f>
        <v>4</v>
      </c>
      <c r="J4" s="3">
        <f>IF('Student Raw Data'!J4="","",IF(OR(TRIM('Student Raw Data'!J4)="Strongly disagree",TRIM('Student Raw Data'!J4)="Strongly Disagree"),1,IF(TRIM('Student Raw Data'!J4)="Disagree",2,IF(OR(TRIM('Student Raw Data'!J4)="Neutral",TRIM('Student Raw Data'!J4)="Neither Agree nor Disagree"),3,IF(TRIM('Student Raw Data'!J4)="Agree",4,IF(OR(TRIM('Student Raw Data'!J4)="Strongly agree",TRIM('Student Raw Data'!J4)="Strongly Agree"),5,""))))))</f>
        <v>4</v>
      </c>
      <c r="K4" s="3">
        <f>IF('Student Raw Data'!K4="","",IF(OR(TRIM('Student Raw Data'!K4)="Strongly disagree",TRIM('Student Raw Data'!K4)="Strongly Disagree"),1,IF(TRIM('Student Raw Data'!K4)="Disagree",2,IF(OR(TRIM('Student Raw Data'!K4)="Neutral",TRIM('Student Raw Data'!K4)="Neither Agree nor Disagree"),3,IF(TRIM('Student Raw Data'!K4)="Agree",4,IF(OR(TRIM('Student Raw Data'!K4)="Strongly agree",TRIM('Student Raw Data'!K4)="Strongly Agree"),5,""))))))</f>
        <v>3</v>
      </c>
      <c r="L4" s="3">
        <f>IF('Student Raw Data'!L4="","",IF(OR(TRIM('Student Raw Data'!L4)="Strongly disagree",TRIM('Student Raw Data'!L4)="Strongly Disagree"),1,IF(TRIM('Student Raw Data'!L4)="Disagree",2,IF(OR(TRIM('Student Raw Data'!L4)="Neutral",TRIM('Student Raw Data'!L4)="Neither Agree nor Disagree"),3,IF(TRIM('Student Raw Data'!L4)="Agree",4,IF(OR(TRIM('Student Raw Data'!L4)="Strongly agree",TRIM('Student Raw Data'!L4)="Strongly Agree"),5,""))))))</f>
        <v>4</v>
      </c>
      <c r="M4" s="3">
        <f>IF('Student Raw Data'!M4="","",IF(OR(TRIM('Student Raw Data'!M4)="Strongly disagree",TRIM('Student Raw Data'!M4)="Strongly Disagree"),1,IF(TRIM('Student Raw Data'!M4)="Disagree",2,IF(OR(TRIM('Student Raw Data'!M4)="Neutral",TRIM('Student Raw Data'!M4)="Neither Agree nor Disagree"),3,IF(TRIM('Student Raw Data'!M4)="Agree",4,IF(OR(TRIM('Student Raw Data'!M4)="Strongly agree",TRIM('Student Raw Data'!M4)="Strongly Agree"),5,""))))))</f>
        <v>4</v>
      </c>
      <c r="N4" s="3">
        <f>IF('Student Raw Data'!N4="","",IF(OR(TRIM('Student Raw Data'!N4)="Strongly disagree",TRIM('Student Raw Data'!N4)="Strongly Disagree"),1,IF(TRIM('Student Raw Data'!N4)="Disagree",2,IF(OR(TRIM('Student Raw Data'!N4)="Neutral",TRIM('Student Raw Data'!N4)="Neither Agree nor Disagree"),3,IF(TRIM('Student Raw Data'!N4)="Agree",4,IF(OR(TRIM('Student Raw Data'!N4)="Strongly agree",TRIM('Student Raw Data'!N4)="Strongly Agree"),5,""))))))</f>
        <v>5</v>
      </c>
      <c r="O4" s="3">
        <f>IF('Student Raw Data'!O4="","",IF(OR(TRIM('Student Raw Data'!O4)="Strongly disagree",TRIM('Student Raw Data'!O4)="Strongly Disagree"),1,IF(TRIM('Student Raw Data'!O4)="Disagree",2,IF(OR(TRIM('Student Raw Data'!O4)="Neutral",TRIM('Student Raw Data'!O4)="Neither Agree nor Disagree"),3,IF(TRIM('Student Raw Data'!O4)="Agree",4,IF(OR(TRIM('Student Raw Data'!O4)="Strongly agree",TRIM('Student Raw Data'!O4)="Strongly Agree"),5,""))))))</f>
        <v>5</v>
      </c>
      <c r="P4" s="3">
        <f>IF('Student Raw Data'!P4="","",IF(OR(TRIM('Student Raw Data'!P4)="Strongly disagree",TRIM('Student Raw Data'!P4)="Strongly Disagree"),1,IF(TRIM('Student Raw Data'!P4)="Disagree",2,IF(OR(TRIM('Student Raw Data'!P4)="Neutral",TRIM('Student Raw Data'!P4)="Neither Agree nor Disagree"),3,IF(TRIM('Student Raw Data'!P4)="Agree",4,IF(OR(TRIM('Student Raw Data'!P4)="Strongly agree",TRIM('Student Raw Data'!P4)="Strongly Agree"),5,""))))))</f>
        <v>5</v>
      </c>
      <c r="Q4" s="3">
        <f>IF('Student Raw Data'!Q4="","",IF(OR(TRIM('Student Raw Data'!Q4)="Strongly disagree",TRIM('Student Raw Data'!Q4)="Strongly Disagree"),1,IF(TRIM('Student Raw Data'!Q4)="Disagree",2,IF(OR(TRIM('Student Raw Data'!Q4)="Neutral",TRIM('Student Raw Data'!Q4)="Neither Agree nor Disagree"),3,IF(TRIM('Student Raw Data'!Q4)="Agree",4,IF(OR(TRIM('Student Raw Data'!Q4)="Strongly agree",TRIM('Student Raw Data'!Q4)="Strongly Agree"),5,""))))))</f>
        <v>4</v>
      </c>
      <c r="R4" s="3">
        <f>IF('Student Raw Data'!R4="","",IF(OR(TRIM('Student Raw Data'!R4)="Strongly disagree",TRIM('Student Raw Data'!R4)="Strongly Disagree"),1,IF(TRIM('Student Raw Data'!R4)="Disagree",2,IF(OR(TRIM('Student Raw Data'!R4)="Neutral",TRIM('Student Raw Data'!R4)="Neither Agree nor Disagree"),3,IF(TRIM('Student Raw Data'!R4)="Agree",4,IF(OR(TRIM('Student Raw Data'!R4)="Strongly agree",TRIM('Student Raw Data'!R4)="Strongly Agree"),5,""))))))</f>
        <v>5</v>
      </c>
      <c r="S4" s="3">
        <f>IF('Student Raw Data'!S4="","",IF(OR(TRIM('Student Raw Data'!S4)="Strongly disagree",TRIM('Student Raw Data'!S4)="Strongly Disagree"),1,IF(TRIM('Student Raw Data'!S4)="Disagree",2,IF(OR(TRIM('Student Raw Data'!S4)="Neutral",TRIM('Student Raw Data'!S4)="Neither Agree nor Disagree"),3,IF(TRIM('Student Raw Data'!S4)="Agree",4,IF(OR(TRIM('Student Raw Data'!S4)="Strongly agree",TRIM('Student Raw Data'!S4)="Strongly Agree"),5,""))))))</f>
        <v>5</v>
      </c>
      <c r="T4" s="3">
        <f>IF('Student Raw Data'!T4="","",IF(OR(TRIM('Student Raw Data'!T4)="Strongly disagree",TRIM('Student Raw Data'!T4)="Strongly Disagree"),1,IF(TRIM('Student Raw Data'!T4)="Disagree",2,IF(OR(TRIM('Student Raw Data'!T4)="Neutral",TRIM('Student Raw Data'!T4)="Neither Agree nor Disagree"),3,IF(TRIM('Student Raw Data'!T4)="Agree",4,IF(OR(TRIM('Student Raw Data'!T4)="Strongly agree",TRIM('Student Raw Data'!T4)="Strongly Agree"),5,""))))))</f>
        <v>4</v>
      </c>
      <c r="U4" s="3">
        <f>IF('Student Raw Data'!U4="","",IF(OR(TRIM('Student Raw Data'!U4)="Strongly disagree",TRIM('Student Raw Data'!U4)="Strongly Disagree"),1,IF(TRIM('Student Raw Data'!U4)="Disagree",2,IF(OR(TRIM('Student Raw Data'!U4)="Neutral",TRIM('Student Raw Data'!U4)="Neither Agree nor Disagree"),3,IF(TRIM('Student Raw Data'!U4)="Agree",4,IF(OR(TRIM('Student Raw Data'!U4)="Strongly agree",TRIM('Student Raw Data'!U4)="Strongly Agree"),5,""))))))</f>
        <v>4</v>
      </c>
      <c r="V4" s="3">
        <f>IF('Student Raw Data'!V4="","",IF(OR(TRIM('Student Raw Data'!V4)="Strongly disagree",TRIM('Student Raw Data'!V4)="Strongly Disagree"),1,IF(TRIM('Student Raw Data'!V4)="Disagree",2,IF(OR(TRIM('Student Raw Data'!V4)="Neutral",TRIM('Student Raw Data'!V4)="Neither Agree nor Disagree"),3,IF(TRIM('Student Raw Data'!V4)="Agree",4,IF(OR(TRIM('Student Raw Data'!V4)="Strongly agree",TRIM('Student Raw Data'!V4)="Strongly Agree"),5,""))))))</f>
        <v>4</v>
      </c>
      <c r="W4" s="3">
        <f>IF('Student Raw Data'!W4="","",IF(OR(TRIM('Student Raw Data'!W4)="Strongly disagree",TRIM('Student Raw Data'!W4)="Strongly Disagree"),1,IF(TRIM('Student Raw Data'!W4)="Disagree",2,IF(OR(TRIM('Student Raw Data'!W4)="Neutral",TRIM('Student Raw Data'!W4)="Neither Agree nor Disagree"),3,IF(TRIM('Student Raw Data'!W4)="Agree",4,IF(OR(TRIM('Student Raw Data'!W4)="Strongly agree",TRIM('Student Raw Data'!W4)="Strongly Agree"),5,""))))))</f>
        <v>4</v>
      </c>
      <c r="X4" s="3">
        <f>IF('Student Raw Data'!X4="","",IF(OR(TRIM('Student Raw Data'!X4)="Strongly disagree",TRIM('Student Raw Data'!X4)="Strongly Disagree"),1,IF(TRIM('Student Raw Data'!X4)="Disagree",2,IF(OR(TRIM('Student Raw Data'!X4)="Neutral",TRIM('Student Raw Data'!X4)="Neither Agree nor Disagree"),3,IF(TRIM('Student Raw Data'!X4)="Agree",4,IF(OR(TRIM('Student Raw Data'!X4)="Strongly agree",TRIM('Student Raw Data'!X4)="Strongly Agree"),5,""))))))</f>
        <v>4</v>
      </c>
      <c r="Y4" s="3">
        <f>IF('Student Raw Data'!Y4="","",IF(OR(TRIM('Student Raw Data'!Y4)="Strongly disagree",TRIM('Student Raw Data'!Y4)="Strongly Disagree"),1,IF(TRIM('Student Raw Data'!Y4)="Disagree",2,IF(OR(TRIM('Student Raw Data'!Y4)="Neutral",TRIM('Student Raw Data'!Y4)="Neither Agree nor Disagree"),3,IF(TRIM('Student Raw Data'!Y4)="Agree",4,IF(OR(TRIM('Student Raw Data'!Y4)="Strongly agree",TRIM('Student Raw Data'!Y4)="Strongly Agree"),5,""))))))</f>
        <v>4</v>
      </c>
      <c r="Z4" s="3">
        <f>IF('Student Raw Data'!Z4="","",IF(OR(TRIM('Student Raw Data'!Z4)="Strongly disagree",TRIM('Student Raw Data'!Z4)="Strongly Disagree"),1,IF(TRIM('Student Raw Data'!Z4)="Disagree",2,IF(OR(TRIM('Student Raw Data'!Z4)="Neutral",TRIM('Student Raw Data'!Z4)="Neither Agree nor Disagree"),3,IF(TRIM('Student Raw Data'!Z4)="Agree",4,IF(OR(TRIM('Student Raw Data'!Z4)="Strongly agree",TRIM('Student Raw Data'!Z4)="Strongly Agree"),5,""))))))</f>
        <v>3</v>
      </c>
      <c r="AA4" s="3">
        <f>'Student Raw Data'!AA4</f>
        <v>5</v>
      </c>
      <c r="AB4" s="3" t="str">
        <f>'Student Raw Data'!AB4</f>
        <v>Strongly Agree</v>
      </c>
      <c r="AC4" s="3" t="str">
        <f>'Student Raw Data'!AC4</f>
        <v>Definitely Yes</v>
      </c>
      <c r="AD4" s="3">
        <f>'Student Raw Data'!AD4</f>
        <v>0</v>
      </c>
      <c r="AE4" s="3">
        <f>'Student Raw Data'!AE4</f>
        <v>0</v>
      </c>
      <c r="AF4" s="3">
        <f>'Student Raw Data'!AF4</f>
        <v>0</v>
      </c>
    </row>
    <row r="5" spans="1:32" ht="16" x14ac:dyDescent="0.2">
      <c r="A5" s="2">
        <f>'Student Raw Data'!A5</f>
        <v>46277.024116736102</v>
      </c>
      <c r="B5" s="3" t="str">
        <f>'Student Raw Data'!B5</f>
        <v>Yes</v>
      </c>
      <c r="C5" s="3" t="str">
        <f>'Student Raw Data'!C5</f>
        <v>PGDM</v>
      </c>
      <c r="D5" s="3" t="str">
        <f>'Student Raw Data'!D5</f>
        <v>4-5 times a week</v>
      </c>
      <c r="E5" s="3" t="str">
        <f>'Student Raw Data'!E5</f>
        <v>1–3 months</v>
      </c>
      <c r="F5" s="3" t="str">
        <f>'Student Raw Data'!F5</f>
        <v>Evening</v>
      </c>
      <c r="G5" s="3">
        <f>IF('Student Raw Data'!G5="","",IF(OR(TRIM('Student Raw Data'!G5)="Strongly disagree",TRIM('Student Raw Data'!G5)="Strongly Disagree"),1,IF(TRIM('Student Raw Data'!G5)="Disagree",2,IF(OR(TRIM('Student Raw Data'!G5)="Neutral",TRIM('Student Raw Data'!G5)="Neither Agree nor Disagree"),3,IF(TRIM('Student Raw Data'!G5)="Agree",4,IF(OR(TRIM('Student Raw Data'!G5)="Strongly agree",TRIM('Student Raw Data'!G5)="Strongly Agree"),5,""))))))</f>
        <v>5</v>
      </c>
      <c r="H5" s="3">
        <f>IF('Student Raw Data'!H5="","",IF(OR(TRIM('Student Raw Data'!H5)="Strongly disagree",TRIM('Student Raw Data'!H5)="Strongly Disagree"),1,IF(TRIM('Student Raw Data'!H5)="Disagree",2,IF(OR(TRIM('Student Raw Data'!H5)="Neutral",TRIM('Student Raw Data'!H5)="Neither Agree nor Disagree"),3,IF(TRIM('Student Raw Data'!H5)="Agree",4,IF(OR(TRIM('Student Raw Data'!H5)="Strongly agree",TRIM('Student Raw Data'!H5)="Strongly Agree"),5,""))))))</f>
        <v>5</v>
      </c>
      <c r="I5" s="3">
        <f>IF('Student Raw Data'!I5="","",IF(OR(TRIM('Student Raw Data'!I5)="Strongly disagree",TRIM('Student Raw Data'!I5)="Strongly Disagree"),1,IF(TRIM('Student Raw Data'!I5)="Disagree",2,IF(OR(TRIM('Student Raw Data'!I5)="Neutral",TRIM('Student Raw Data'!I5)="Neither Agree nor Disagree"),3,IF(TRIM('Student Raw Data'!I5)="Agree",4,IF(OR(TRIM('Student Raw Data'!I5)="Strongly agree",TRIM('Student Raw Data'!I5)="Strongly Agree"),5,""))))))</f>
        <v>5</v>
      </c>
      <c r="J5" s="3">
        <f>IF('Student Raw Data'!J5="","",IF(OR(TRIM('Student Raw Data'!J5)="Strongly disagree",TRIM('Student Raw Data'!J5)="Strongly Disagree"),1,IF(TRIM('Student Raw Data'!J5)="Disagree",2,IF(OR(TRIM('Student Raw Data'!J5)="Neutral",TRIM('Student Raw Data'!J5)="Neither Agree nor Disagree"),3,IF(TRIM('Student Raw Data'!J5)="Agree",4,IF(OR(TRIM('Student Raw Data'!J5)="Strongly agree",TRIM('Student Raw Data'!J5)="Strongly Agree"),5,""))))))</f>
        <v>5</v>
      </c>
      <c r="K5" s="3">
        <f>IF('Student Raw Data'!K5="","",IF(OR(TRIM('Student Raw Data'!K5)="Strongly disagree",TRIM('Student Raw Data'!K5)="Strongly Disagree"),1,IF(TRIM('Student Raw Data'!K5)="Disagree",2,IF(OR(TRIM('Student Raw Data'!K5)="Neutral",TRIM('Student Raw Data'!K5)="Neither Agree nor Disagree"),3,IF(TRIM('Student Raw Data'!K5)="Agree",4,IF(OR(TRIM('Student Raw Data'!K5)="Strongly agree",TRIM('Student Raw Data'!K5)="Strongly Agree"),5,""))))))</f>
        <v>5</v>
      </c>
      <c r="L5" s="3">
        <f>IF('Student Raw Data'!L5="","",IF(OR(TRIM('Student Raw Data'!L5)="Strongly disagree",TRIM('Student Raw Data'!L5)="Strongly Disagree"),1,IF(TRIM('Student Raw Data'!L5)="Disagree",2,IF(OR(TRIM('Student Raw Data'!L5)="Neutral",TRIM('Student Raw Data'!L5)="Neither Agree nor Disagree"),3,IF(TRIM('Student Raw Data'!L5)="Agree",4,IF(OR(TRIM('Student Raw Data'!L5)="Strongly agree",TRIM('Student Raw Data'!L5)="Strongly Agree"),5,""))))))</f>
        <v>5</v>
      </c>
      <c r="M5" s="3">
        <f>IF('Student Raw Data'!M5="","",IF(OR(TRIM('Student Raw Data'!M5)="Strongly disagree",TRIM('Student Raw Data'!M5)="Strongly Disagree"),1,IF(TRIM('Student Raw Data'!M5)="Disagree",2,IF(OR(TRIM('Student Raw Data'!M5)="Neutral",TRIM('Student Raw Data'!M5)="Neither Agree nor Disagree"),3,IF(TRIM('Student Raw Data'!M5)="Agree",4,IF(OR(TRIM('Student Raw Data'!M5)="Strongly agree",TRIM('Student Raw Data'!M5)="Strongly Agree"),5,""))))))</f>
        <v>5</v>
      </c>
      <c r="N5" s="3">
        <f>IF('Student Raw Data'!N5="","",IF(OR(TRIM('Student Raw Data'!N5)="Strongly disagree",TRIM('Student Raw Data'!N5)="Strongly Disagree"),1,IF(TRIM('Student Raw Data'!N5)="Disagree",2,IF(OR(TRIM('Student Raw Data'!N5)="Neutral",TRIM('Student Raw Data'!N5)="Neither Agree nor Disagree"),3,IF(TRIM('Student Raw Data'!N5)="Agree",4,IF(OR(TRIM('Student Raw Data'!N5)="Strongly agree",TRIM('Student Raw Data'!N5)="Strongly Agree"),5,""))))))</f>
        <v>5</v>
      </c>
      <c r="O5" s="3">
        <f>IF('Student Raw Data'!O5="","",IF(OR(TRIM('Student Raw Data'!O5)="Strongly disagree",TRIM('Student Raw Data'!O5)="Strongly Disagree"),1,IF(TRIM('Student Raw Data'!O5)="Disagree",2,IF(OR(TRIM('Student Raw Data'!O5)="Neutral",TRIM('Student Raw Data'!O5)="Neither Agree nor Disagree"),3,IF(TRIM('Student Raw Data'!O5)="Agree",4,IF(OR(TRIM('Student Raw Data'!O5)="Strongly agree",TRIM('Student Raw Data'!O5)="Strongly Agree"),5,""))))))</f>
        <v>5</v>
      </c>
      <c r="P5" s="3">
        <f>IF('Student Raw Data'!P5="","",IF(OR(TRIM('Student Raw Data'!P5)="Strongly disagree",TRIM('Student Raw Data'!P5)="Strongly Disagree"),1,IF(TRIM('Student Raw Data'!P5)="Disagree",2,IF(OR(TRIM('Student Raw Data'!P5)="Neutral",TRIM('Student Raw Data'!P5)="Neither Agree nor Disagree"),3,IF(TRIM('Student Raw Data'!P5)="Agree",4,IF(OR(TRIM('Student Raw Data'!P5)="Strongly agree",TRIM('Student Raw Data'!P5)="Strongly Agree"),5,""))))))</f>
        <v>5</v>
      </c>
      <c r="Q5" s="3">
        <f>IF('Student Raw Data'!Q5="","",IF(OR(TRIM('Student Raw Data'!Q5)="Strongly disagree",TRIM('Student Raw Data'!Q5)="Strongly Disagree"),1,IF(TRIM('Student Raw Data'!Q5)="Disagree",2,IF(OR(TRIM('Student Raw Data'!Q5)="Neutral",TRIM('Student Raw Data'!Q5)="Neither Agree nor Disagree"),3,IF(TRIM('Student Raw Data'!Q5)="Agree",4,IF(OR(TRIM('Student Raw Data'!Q5)="Strongly agree",TRIM('Student Raw Data'!Q5)="Strongly Agree"),5,""))))))</f>
        <v>5</v>
      </c>
      <c r="R5" s="3">
        <f>IF('Student Raw Data'!R5="","",IF(OR(TRIM('Student Raw Data'!R5)="Strongly disagree",TRIM('Student Raw Data'!R5)="Strongly Disagree"),1,IF(TRIM('Student Raw Data'!R5)="Disagree",2,IF(OR(TRIM('Student Raw Data'!R5)="Neutral",TRIM('Student Raw Data'!R5)="Neither Agree nor Disagree"),3,IF(TRIM('Student Raw Data'!R5)="Agree",4,IF(OR(TRIM('Student Raw Data'!R5)="Strongly agree",TRIM('Student Raw Data'!R5)="Strongly Agree"),5,""))))))</f>
        <v>5</v>
      </c>
      <c r="S5" s="3">
        <f>IF('Student Raw Data'!S5="","",IF(OR(TRIM('Student Raw Data'!S5)="Strongly disagree",TRIM('Student Raw Data'!S5)="Strongly Disagree"),1,IF(TRIM('Student Raw Data'!S5)="Disagree",2,IF(OR(TRIM('Student Raw Data'!S5)="Neutral",TRIM('Student Raw Data'!S5)="Neither Agree nor Disagree"),3,IF(TRIM('Student Raw Data'!S5)="Agree",4,IF(OR(TRIM('Student Raw Data'!S5)="Strongly agree",TRIM('Student Raw Data'!S5)="Strongly Agree"),5,""))))))</f>
        <v>5</v>
      </c>
      <c r="T5" s="3">
        <f>IF('Student Raw Data'!T5="","",IF(OR(TRIM('Student Raw Data'!T5)="Strongly disagree",TRIM('Student Raw Data'!T5)="Strongly Disagree"),1,IF(TRIM('Student Raw Data'!T5)="Disagree",2,IF(OR(TRIM('Student Raw Data'!T5)="Neutral",TRIM('Student Raw Data'!T5)="Neither Agree nor Disagree"),3,IF(TRIM('Student Raw Data'!T5)="Agree",4,IF(OR(TRIM('Student Raw Data'!T5)="Strongly agree",TRIM('Student Raw Data'!T5)="Strongly Agree"),5,""))))))</f>
        <v>5</v>
      </c>
      <c r="U5" s="3">
        <f>IF('Student Raw Data'!U5="","",IF(OR(TRIM('Student Raw Data'!U5)="Strongly disagree",TRIM('Student Raw Data'!U5)="Strongly Disagree"),1,IF(TRIM('Student Raw Data'!U5)="Disagree",2,IF(OR(TRIM('Student Raw Data'!U5)="Neutral",TRIM('Student Raw Data'!U5)="Neither Agree nor Disagree"),3,IF(TRIM('Student Raw Data'!U5)="Agree",4,IF(OR(TRIM('Student Raw Data'!U5)="Strongly agree",TRIM('Student Raw Data'!U5)="Strongly Agree"),5,""))))))</f>
        <v>5</v>
      </c>
      <c r="V5" s="3">
        <f>IF('Student Raw Data'!V5="","",IF(OR(TRIM('Student Raw Data'!V5)="Strongly disagree",TRIM('Student Raw Data'!V5)="Strongly Disagree"),1,IF(TRIM('Student Raw Data'!V5)="Disagree",2,IF(OR(TRIM('Student Raw Data'!V5)="Neutral",TRIM('Student Raw Data'!V5)="Neither Agree nor Disagree"),3,IF(TRIM('Student Raw Data'!V5)="Agree",4,IF(OR(TRIM('Student Raw Data'!V5)="Strongly agree",TRIM('Student Raw Data'!V5)="Strongly Agree"),5,""))))))</f>
        <v>5</v>
      </c>
      <c r="W5" s="3">
        <f>IF('Student Raw Data'!W5="","",IF(OR(TRIM('Student Raw Data'!W5)="Strongly disagree",TRIM('Student Raw Data'!W5)="Strongly Disagree"),1,IF(TRIM('Student Raw Data'!W5)="Disagree",2,IF(OR(TRIM('Student Raw Data'!W5)="Neutral",TRIM('Student Raw Data'!W5)="Neither Agree nor Disagree"),3,IF(TRIM('Student Raw Data'!W5)="Agree",4,IF(OR(TRIM('Student Raw Data'!W5)="Strongly agree",TRIM('Student Raw Data'!W5)="Strongly Agree"),5,""))))))</f>
        <v>5</v>
      </c>
      <c r="X5" s="3">
        <f>IF('Student Raw Data'!X5="","",IF(OR(TRIM('Student Raw Data'!X5)="Strongly disagree",TRIM('Student Raw Data'!X5)="Strongly Disagree"),1,IF(TRIM('Student Raw Data'!X5)="Disagree",2,IF(OR(TRIM('Student Raw Data'!X5)="Neutral",TRIM('Student Raw Data'!X5)="Neither Agree nor Disagree"),3,IF(TRIM('Student Raw Data'!X5)="Agree",4,IF(OR(TRIM('Student Raw Data'!X5)="Strongly agree",TRIM('Student Raw Data'!X5)="Strongly Agree"),5,""))))))</f>
        <v>5</v>
      </c>
      <c r="Y5" s="3">
        <f>IF('Student Raw Data'!Y5="","",IF(OR(TRIM('Student Raw Data'!Y5)="Strongly disagree",TRIM('Student Raw Data'!Y5)="Strongly Disagree"),1,IF(TRIM('Student Raw Data'!Y5)="Disagree",2,IF(OR(TRIM('Student Raw Data'!Y5)="Neutral",TRIM('Student Raw Data'!Y5)="Neither Agree nor Disagree"),3,IF(TRIM('Student Raw Data'!Y5)="Agree",4,IF(OR(TRIM('Student Raw Data'!Y5)="Strongly agree",TRIM('Student Raw Data'!Y5)="Strongly Agree"),5,""))))))</f>
        <v>5</v>
      </c>
      <c r="Z5" s="3">
        <f>IF('Student Raw Data'!Z5="","",IF(OR(TRIM('Student Raw Data'!Z5)="Strongly disagree",TRIM('Student Raw Data'!Z5)="Strongly Disagree"),1,IF(TRIM('Student Raw Data'!Z5)="Disagree",2,IF(OR(TRIM('Student Raw Data'!Z5)="Neutral",TRIM('Student Raw Data'!Z5)="Neither Agree nor Disagree"),3,IF(TRIM('Student Raw Data'!Z5)="Agree",4,IF(OR(TRIM('Student Raw Data'!Z5)="Strongly agree",TRIM('Student Raw Data'!Z5)="Strongly Agree"),5,""))))))</f>
        <v>5</v>
      </c>
      <c r="AA5" s="3">
        <f>'Student Raw Data'!AA5</f>
        <v>5</v>
      </c>
      <c r="AB5" s="3" t="str">
        <f>'Student Raw Data'!AB5</f>
        <v>Strongly Agree</v>
      </c>
      <c r="AC5" s="3" t="str">
        <f>'Student Raw Data'!AC5</f>
        <v>Definitely Yes</v>
      </c>
      <c r="AD5" s="3" t="str">
        <f>'Student Raw Data'!AD5</f>
        <v>Na</v>
      </c>
      <c r="AE5" s="3" t="str">
        <f>'Student Raw Data'!AE5</f>
        <v>Na</v>
      </c>
      <c r="AF5" s="3" t="str">
        <f>'Student Raw Data'!AF5</f>
        <v>na</v>
      </c>
    </row>
    <row r="6" spans="1:32" ht="16" x14ac:dyDescent="0.2">
      <c r="A6" s="2">
        <f>'Student Raw Data'!A6</f>
        <v>46277.0848381713</v>
      </c>
      <c r="B6" s="3" t="str">
        <f>'Student Raw Data'!B6</f>
        <v>Yes</v>
      </c>
      <c r="C6" s="3" t="str">
        <f>'Student Raw Data'!C6</f>
        <v>PGDM</v>
      </c>
      <c r="D6" s="3" t="str">
        <f>'Student Raw Data'!D6</f>
        <v>Daily</v>
      </c>
      <c r="E6" s="3" t="str">
        <f>'Student Raw Data'!E6</f>
        <v>1–3 months</v>
      </c>
      <c r="F6" s="3" t="str">
        <f>'Student Raw Data'!F6</f>
        <v>Evening</v>
      </c>
      <c r="G6" s="3">
        <f>IF('Student Raw Data'!G6="","",IF(OR(TRIM('Student Raw Data'!G6)="Strongly disagree",TRIM('Student Raw Data'!G6)="Strongly Disagree"),1,IF(TRIM('Student Raw Data'!G6)="Disagree",2,IF(OR(TRIM('Student Raw Data'!G6)="Neutral",TRIM('Student Raw Data'!G6)="Neither Agree nor Disagree"),3,IF(TRIM('Student Raw Data'!G6)="Agree",4,IF(OR(TRIM('Student Raw Data'!G6)="Strongly agree",TRIM('Student Raw Data'!G6)="Strongly Agree"),5,""))))))</f>
        <v>3</v>
      </c>
      <c r="H6" s="3">
        <f>IF('Student Raw Data'!H6="","",IF(OR(TRIM('Student Raw Data'!H6)="Strongly disagree",TRIM('Student Raw Data'!H6)="Strongly Disagree"),1,IF(TRIM('Student Raw Data'!H6)="Disagree",2,IF(OR(TRIM('Student Raw Data'!H6)="Neutral",TRIM('Student Raw Data'!H6)="Neither Agree nor Disagree"),3,IF(TRIM('Student Raw Data'!H6)="Agree",4,IF(OR(TRIM('Student Raw Data'!H6)="Strongly agree",TRIM('Student Raw Data'!H6)="Strongly Agree"),5,""))))))</f>
        <v>5</v>
      </c>
      <c r="I6" s="3">
        <f>IF('Student Raw Data'!I6="","",IF(OR(TRIM('Student Raw Data'!I6)="Strongly disagree",TRIM('Student Raw Data'!I6)="Strongly Disagree"),1,IF(TRIM('Student Raw Data'!I6)="Disagree",2,IF(OR(TRIM('Student Raw Data'!I6)="Neutral",TRIM('Student Raw Data'!I6)="Neither Agree nor Disagree"),3,IF(TRIM('Student Raw Data'!I6)="Agree",4,IF(OR(TRIM('Student Raw Data'!I6)="Strongly agree",TRIM('Student Raw Data'!I6)="Strongly Agree"),5,""))))))</f>
        <v>5</v>
      </c>
      <c r="J6" s="3">
        <f>IF('Student Raw Data'!J6="","",IF(OR(TRIM('Student Raw Data'!J6)="Strongly disagree",TRIM('Student Raw Data'!J6)="Strongly Disagree"),1,IF(TRIM('Student Raw Data'!J6)="Disagree",2,IF(OR(TRIM('Student Raw Data'!J6)="Neutral",TRIM('Student Raw Data'!J6)="Neither Agree nor Disagree"),3,IF(TRIM('Student Raw Data'!J6)="Agree",4,IF(OR(TRIM('Student Raw Data'!J6)="Strongly agree",TRIM('Student Raw Data'!J6)="Strongly Agree"),5,""))))))</f>
        <v>5</v>
      </c>
      <c r="K6" s="3">
        <f>IF('Student Raw Data'!K6="","",IF(OR(TRIM('Student Raw Data'!K6)="Strongly disagree",TRIM('Student Raw Data'!K6)="Strongly Disagree"),1,IF(TRIM('Student Raw Data'!K6)="Disagree",2,IF(OR(TRIM('Student Raw Data'!K6)="Neutral",TRIM('Student Raw Data'!K6)="Neither Agree nor Disagree"),3,IF(TRIM('Student Raw Data'!K6)="Agree",4,IF(OR(TRIM('Student Raw Data'!K6)="Strongly agree",TRIM('Student Raw Data'!K6)="Strongly Agree"),5,""))))))</f>
        <v>3</v>
      </c>
      <c r="L6" s="3">
        <f>IF('Student Raw Data'!L6="","",IF(OR(TRIM('Student Raw Data'!L6)="Strongly disagree",TRIM('Student Raw Data'!L6)="Strongly Disagree"),1,IF(TRIM('Student Raw Data'!L6)="Disagree",2,IF(OR(TRIM('Student Raw Data'!L6)="Neutral",TRIM('Student Raw Data'!L6)="Neither Agree nor Disagree"),3,IF(TRIM('Student Raw Data'!L6)="Agree",4,IF(OR(TRIM('Student Raw Data'!L6)="Strongly agree",TRIM('Student Raw Data'!L6)="Strongly Agree"),5,""))))))</f>
        <v>3</v>
      </c>
      <c r="M6" s="3">
        <f>IF('Student Raw Data'!M6="","",IF(OR(TRIM('Student Raw Data'!M6)="Strongly disagree",TRIM('Student Raw Data'!M6)="Strongly Disagree"),1,IF(TRIM('Student Raw Data'!M6)="Disagree",2,IF(OR(TRIM('Student Raw Data'!M6)="Neutral",TRIM('Student Raw Data'!M6)="Neither Agree nor Disagree"),3,IF(TRIM('Student Raw Data'!M6)="Agree",4,IF(OR(TRIM('Student Raw Data'!M6)="Strongly agree",TRIM('Student Raw Data'!M6)="Strongly Agree"),5,""))))))</f>
        <v>5</v>
      </c>
      <c r="N6" s="3">
        <f>IF('Student Raw Data'!N6="","",IF(OR(TRIM('Student Raw Data'!N6)="Strongly disagree",TRIM('Student Raw Data'!N6)="Strongly Disagree"),1,IF(TRIM('Student Raw Data'!N6)="Disagree",2,IF(OR(TRIM('Student Raw Data'!N6)="Neutral",TRIM('Student Raw Data'!N6)="Neither Agree nor Disagree"),3,IF(TRIM('Student Raw Data'!N6)="Agree",4,IF(OR(TRIM('Student Raw Data'!N6)="Strongly agree",TRIM('Student Raw Data'!N6)="Strongly Agree"),5,""))))))</f>
        <v>5</v>
      </c>
      <c r="O6" s="3">
        <f>IF('Student Raw Data'!O6="","",IF(OR(TRIM('Student Raw Data'!O6)="Strongly disagree",TRIM('Student Raw Data'!O6)="Strongly Disagree"),1,IF(TRIM('Student Raw Data'!O6)="Disagree",2,IF(OR(TRIM('Student Raw Data'!O6)="Neutral",TRIM('Student Raw Data'!O6)="Neither Agree nor Disagree"),3,IF(TRIM('Student Raw Data'!O6)="Agree",4,IF(OR(TRIM('Student Raw Data'!O6)="Strongly agree",TRIM('Student Raw Data'!O6)="Strongly Agree"),5,""))))))</f>
        <v>5</v>
      </c>
      <c r="P6" s="3">
        <f>IF('Student Raw Data'!P6="","",IF(OR(TRIM('Student Raw Data'!P6)="Strongly disagree",TRIM('Student Raw Data'!P6)="Strongly Disagree"),1,IF(TRIM('Student Raw Data'!P6)="Disagree",2,IF(OR(TRIM('Student Raw Data'!P6)="Neutral",TRIM('Student Raw Data'!P6)="Neither Agree nor Disagree"),3,IF(TRIM('Student Raw Data'!P6)="Agree",4,IF(OR(TRIM('Student Raw Data'!P6)="Strongly agree",TRIM('Student Raw Data'!P6)="Strongly Agree"),5,""))))))</f>
        <v>5</v>
      </c>
      <c r="Q6" s="3">
        <f>IF('Student Raw Data'!Q6="","",IF(OR(TRIM('Student Raw Data'!Q6)="Strongly disagree",TRIM('Student Raw Data'!Q6)="Strongly Disagree"),1,IF(TRIM('Student Raw Data'!Q6)="Disagree",2,IF(OR(TRIM('Student Raw Data'!Q6)="Neutral",TRIM('Student Raw Data'!Q6)="Neither Agree nor Disagree"),3,IF(TRIM('Student Raw Data'!Q6)="Agree",4,IF(OR(TRIM('Student Raw Data'!Q6)="Strongly agree",TRIM('Student Raw Data'!Q6)="Strongly Agree"),5,""))))))</f>
        <v>5</v>
      </c>
      <c r="R6" s="3">
        <f>IF('Student Raw Data'!R6="","",IF(OR(TRIM('Student Raw Data'!R6)="Strongly disagree",TRIM('Student Raw Data'!R6)="Strongly Disagree"),1,IF(TRIM('Student Raw Data'!R6)="Disagree",2,IF(OR(TRIM('Student Raw Data'!R6)="Neutral",TRIM('Student Raw Data'!R6)="Neither Agree nor Disagree"),3,IF(TRIM('Student Raw Data'!R6)="Agree",4,IF(OR(TRIM('Student Raw Data'!R6)="Strongly agree",TRIM('Student Raw Data'!R6)="Strongly Agree"),5,""))))))</f>
        <v>5</v>
      </c>
      <c r="S6" s="3">
        <f>IF('Student Raw Data'!S6="","",IF(OR(TRIM('Student Raw Data'!S6)="Strongly disagree",TRIM('Student Raw Data'!S6)="Strongly Disagree"),1,IF(TRIM('Student Raw Data'!S6)="Disagree",2,IF(OR(TRIM('Student Raw Data'!S6)="Neutral",TRIM('Student Raw Data'!S6)="Neither Agree nor Disagree"),3,IF(TRIM('Student Raw Data'!S6)="Agree",4,IF(OR(TRIM('Student Raw Data'!S6)="Strongly agree",TRIM('Student Raw Data'!S6)="Strongly Agree"),5,""))))))</f>
        <v>5</v>
      </c>
      <c r="T6" s="3">
        <f>IF('Student Raw Data'!T6="","",IF(OR(TRIM('Student Raw Data'!T6)="Strongly disagree",TRIM('Student Raw Data'!T6)="Strongly Disagree"),1,IF(TRIM('Student Raw Data'!T6)="Disagree",2,IF(OR(TRIM('Student Raw Data'!T6)="Neutral",TRIM('Student Raw Data'!T6)="Neither Agree nor Disagree"),3,IF(TRIM('Student Raw Data'!T6)="Agree",4,IF(OR(TRIM('Student Raw Data'!T6)="Strongly agree",TRIM('Student Raw Data'!T6)="Strongly Agree"),5,""))))))</f>
        <v>5</v>
      </c>
      <c r="U6" s="3">
        <f>IF('Student Raw Data'!U6="","",IF(OR(TRIM('Student Raw Data'!U6)="Strongly disagree",TRIM('Student Raw Data'!U6)="Strongly Disagree"),1,IF(TRIM('Student Raw Data'!U6)="Disagree",2,IF(OR(TRIM('Student Raw Data'!U6)="Neutral",TRIM('Student Raw Data'!U6)="Neither Agree nor Disagree"),3,IF(TRIM('Student Raw Data'!U6)="Agree",4,IF(OR(TRIM('Student Raw Data'!U6)="Strongly agree",TRIM('Student Raw Data'!U6)="Strongly Agree"),5,""))))))</f>
        <v>5</v>
      </c>
      <c r="V6" s="3">
        <f>IF('Student Raw Data'!V6="","",IF(OR(TRIM('Student Raw Data'!V6)="Strongly disagree",TRIM('Student Raw Data'!V6)="Strongly Disagree"),1,IF(TRIM('Student Raw Data'!V6)="Disagree",2,IF(OR(TRIM('Student Raw Data'!V6)="Neutral",TRIM('Student Raw Data'!V6)="Neither Agree nor Disagree"),3,IF(TRIM('Student Raw Data'!V6)="Agree",4,IF(OR(TRIM('Student Raw Data'!V6)="Strongly agree",TRIM('Student Raw Data'!V6)="Strongly Agree"),5,""))))))</f>
        <v>5</v>
      </c>
      <c r="W6" s="3">
        <f>IF('Student Raw Data'!W6="","",IF(OR(TRIM('Student Raw Data'!W6)="Strongly disagree",TRIM('Student Raw Data'!W6)="Strongly Disagree"),1,IF(TRIM('Student Raw Data'!W6)="Disagree",2,IF(OR(TRIM('Student Raw Data'!W6)="Neutral",TRIM('Student Raw Data'!W6)="Neither Agree nor Disagree"),3,IF(TRIM('Student Raw Data'!W6)="Agree",4,IF(OR(TRIM('Student Raw Data'!W6)="Strongly agree",TRIM('Student Raw Data'!W6)="Strongly Agree"),5,""))))))</f>
        <v>5</v>
      </c>
      <c r="X6" s="3">
        <f>IF('Student Raw Data'!X6="","",IF(OR(TRIM('Student Raw Data'!X6)="Strongly disagree",TRIM('Student Raw Data'!X6)="Strongly Disagree"),1,IF(TRIM('Student Raw Data'!X6)="Disagree",2,IF(OR(TRIM('Student Raw Data'!X6)="Neutral",TRIM('Student Raw Data'!X6)="Neither Agree nor Disagree"),3,IF(TRIM('Student Raw Data'!X6)="Agree",4,IF(OR(TRIM('Student Raw Data'!X6)="Strongly agree",TRIM('Student Raw Data'!X6)="Strongly Agree"),5,""))))))</f>
        <v>5</v>
      </c>
      <c r="Y6" s="3">
        <f>IF('Student Raw Data'!Y6="","",IF(OR(TRIM('Student Raw Data'!Y6)="Strongly disagree",TRIM('Student Raw Data'!Y6)="Strongly Disagree"),1,IF(TRIM('Student Raw Data'!Y6)="Disagree",2,IF(OR(TRIM('Student Raw Data'!Y6)="Neutral",TRIM('Student Raw Data'!Y6)="Neither Agree nor Disagree"),3,IF(TRIM('Student Raw Data'!Y6)="Agree",4,IF(OR(TRIM('Student Raw Data'!Y6)="Strongly agree",TRIM('Student Raw Data'!Y6)="Strongly Agree"),5,""))))))</f>
        <v>5</v>
      </c>
      <c r="Z6" s="3">
        <f>IF('Student Raw Data'!Z6="","",IF(OR(TRIM('Student Raw Data'!Z6)="Strongly disagree",TRIM('Student Raw Data'!Z6)="Strongly Disagree"),1,IF(TRIM('Student Raw Data'!Z6)="Disagree",2,IF(OR(TRIM('Student Raw Data'!Z6)="Neutral",TRIM('Student Raw Data'!Z6)="Neither Agree nor Disagree"),3,IF(TRIM('Student Raw Data'!Z6)="Agree",4,IF(OR(TRIM('Student Raw Data'!Z6)="Strongly agree",TRIM('Student Raw Data'!Z6)="Strongly Agree"),5,""))))))</f>
        <v>5</v>
      </c>
      <c r="AA6" s="3">
        <f>'Student Raw Data'!AA6</f>
        <v>3</v>
      </c>
      <c r="AB6" s="3" t="str">
        <f>'Student Raw Data'!AB6</f>
        <v>Agree</v>
      </c>
      <c r="AC6" s="3" t="str">
        <f>'Student Raw Data'!AC6</f>
        <v>Probably Yes</v>
      </c>
      <c r="AD6" s="3" t="str">
        <f>'Student Raw Data'!AD6</f>
        <v>machine is not working like treadmill.</v>
      </c>
      <c r="AE6" s="3" t="str">
        <f>'Student Raw Data'!AE6</f>
        <v xml:space="preserve"> Repair treadmill or Replace to new.</v>
      </c>
      <c r="AF6" s="3" t="str">
        <f>'Student Raw Data'!AF6</f>
        <v>add more equipment.</v>
      </c>
    </row>
    <row r="7" spans="1:32" ht="16" x14ac:dyDescent="0.2">
      <c r="A7" s="2">
        <f>'Student Raw Data'!A7</f>
        <v>46277.085615775497</v>
      </c>
      <c r="B7" s="3" t="str">
        <f>'Student Raw Data'!B7</f>
        <v>Yes</v>
      </c>
      <c r="C7" s="3" t="str">
        <f>'Student Raw Data'!C7</f>
        <v>PGDM</v>
      </c>
      <c r="D7" s="3" t="str">
        <f>'Student Raw Data'!D7</f>
        <v>2-3 times a week</v>
      </c>
      <c r="E7" s="3" t="str">
        <f>'Student Raw Data'!E7</f>
        <v>1–3 months</v>
      </c>
      <c r="F7" s="3" t="str">
        <f>'Student Raw Data'!F7</f>
        <v>Evening</v>
      </c>
      <c r="G7" s="3">
        <f>IF('Student Raw Data'!G7="","",IF(OR(TRIM('Student Raw Data'!G7)="Strongly disagree",TRIM('Student Raw Data'!G7)="Strongly Disagree"),1,IF(TRIM('Student Raw Data'!G7)="Disagree",2,IF(OR(TRIM('Student Raw Data'!G7)="Neutral",TRIM('Student Raw Data'!G7)="Neither Agree nor Disagree"),3,IF(TRIM('Student Raw Data'!G7)="Agree",4,IF(OR(TRIM('Student Raw Data'!G7)="Strongly agree",TRIM('Student Raw Data'!G7)="Strongly Agree"),5,""))))))</f>
        <v>4</v>
      </c>
      <c r="H7" s="3">
        <f>IF('Student Raw Data'!H7="","",IF(OR(TRIM('Student Raw Data'!H7)="Strongly disagree",TRIM('Student Raw Data'!H7)="Strongly Disagree"),1,IF(TRIM('Student Raw Data'!H7)="Disagree",2,IF(OR(TRIM('Student Raw Data'!H7)="Neutral",TRIM('Student Raw Data'!H7)="Neither Agree nor Disagree"),3,IF(TRIM('Student Raw Data'!H7)="Agree",4,IF(OR(TRIM('Student Raw Data'!H7)="Strongly agree",TRIM('Student Raw Data'!H7)="Strongly Agree"),5,""))))))</f>
        <v>4</v>
      </c>
      <c r="I7" s="3">
        <f>IF('Student Raw Data'!I7="","",IF(OR(TRIM('Student Raw Data'!I7)="Strongly disagree",TRIM('Student Raw Data'!I7)="Strongly Disagree"),1,IF(TRIM('Student Raw Data'!I7)="Disagree",2,IF(OR(TRIM('Student Raw Data'!I7)="Neutral",TRIM('Student Raw Data'!I7)="Neither Agree nor Disagree"),3,IF(TRIM('Student Raw Data'!I7)="Agree",4,IF(OR(TRIM('Student Raw Data'!I7)="Strongly agree",TRIM('Student Raw Data'!I7)="Strongly Agree"),5,""))))))</f>
        <v>5</v>
      </c>
      <c r="J7" s="3">
        <f>IF('Student Raw Data'!J7="","",IF(OR(TRIM('Student Raw Data'!J7)="Strongly disagree",TRIM('Student Raw Data'!J7)="Strongly Disagree"),1,IF(TRIM('Student Raw Data'!J7)="Disagree",2,IF(OR(TRIM('Student Raw Data'!J7)="Neutral",TRIM('Student Raw Data'!J7)="Neither Agree nor Disagree"),3,IF(TRIM('Student Raw Data'!J7)="Agree",4,IF(OR(TRIM('Student Raw Data'!J7)="Strongly agree",TRIM('Student Raw Data'!J7)="Strongly Agree"),5,""))))))</f>
        <v>5</v>
      </c>
      <c r="K7" s="3">
        <f>IF('Student Raw Data'!K7="","",IF(OR(TRIM('Student Raw Data'!K7)="Strongly disagree",TRIM('Student Raw Data'!K7)="Strongly Disagree"),1,IF(TRIM('Student Raw Data'!K7)="Disagree",2,IF(OR(TRIM('Student Raw Data'!K7)="Neutral",TRIM('Student Raw Data'!K7)="Neither Agree nor Disagree"),3,IF(TRIM('Student Raw Data'!K7)="Agree",4,IF(OR(TRIM('Student Raw Data'!K7)="Strongly agree",TRIM('Student Raw Data'!K7)="Strongly Agree"),5,""))))))</f>
        <v>1</v>
      </c>
      <c r="L7" s="3">
        <f>IF('Student Raw Data'!L7="","",IF(OR(TRIM('Student Raw Data'!L7)="Strongly disagree",TRIM('Student Raw Data'!L7)="Strongly Disagree"),1,IF(TRIM('Student Raw Data'!L7)="Disagree",2,IF(OR(TRIM('Student Raw Data'!L7)="Neutral",TRIM('Student Raw Data'!L7)="Neither Agree nor Disagree"),3,IF(TRIM('Student Raw Data'!L7)="Agree",4,IF(OR(TRIM('Student Raw Data'!L7)="Strongly agree",TRIM('Student Raw Data'!L7)="Strongly Agree"),5,""))))))</f>
        <v>5</v>
      </c>
      <c r="M7" s="3">
        <f>IF('Student Raw Data'!M7="","",IF(OR(TRIM('Student Raw Data'!M7)="Strongly disagree",TRIM('Student Raw Data'!M7)="Strongly Disagree"),1,IF(TRIM('Student Raw Data'!M7)="Disagree",2,IF(OR(TRIM('Student Raw Data'!M7)="Neutral",TRIM('Student Raw Data'!M7)="Neither Agree nor Disagree"),3,IF(TRIM('Student Raw Data'!M7)="Agree",4,IF(OR(TRIM('Student Raw Data'!M7)="Strongly agree",TRIM('Student Raw Data'!M7)="Strongly Agree"),5,""))))))</f>
        <v>4</v>
      </c>
      <c r="N7" s="3">
        <f>IF('Student Raw Data'!N7="","",IF(OR(TRIM('Student Raw Data'!N7)="Strongly disagree",TRIM('Student Raw Data'!N7)="Strongly Disagree"),1,IF(TRIM('Student Raw Data'!N7)="Disagree",2,IF(OR(TRIM('Student Raw Data'!N7)="Neutral",TRIM('Student Raw Data'!N7)="Neither Agree nor Disagree"),3,IF(TRIM('Student Raw Data'!N7)="Agree",4,IF(OR(TRIM('Student Raw Data'!N7)="Strongly agree",TRIM('Student Raw Data'!N7)="Strongly Agree"),5,""))))))</f>
        <v>5</v>
      </c>
      <c r="O7" s="3">
        <f>IF('Student Raw Data'!O7="","",IF(OR(TRIM('Student Raw Data'!O7)="Strongly disagree",TRIM('Student Raw Data'!O7)="Strongly Disagree"),1,IF(TRIM('Student Raw Data'!O7)="Disagree",2,IF(OR(TRIM('Student Raw Data'!O7)="Neutral",TRIM('Student Raw Data'!O7)="Neither Agree nor Disagree"),3,IF(TRIM('Student Raw Data'!O7)="Agree",4,IF(OR(TRIM('Student Raw Data'!O7)="Strongly agree",TRIM('Student Raw Data'!O7)="Strongly Agree"),5,""))))))</f>
        <v>5</v>
      </c>
      <c r="P7" s="3">
        <f>IF('Student Raw Data'!P7="","",IF(OR(TRIM('Student Raw Data'!P7)="Strongly disagree",TRIM('Student Raw Data'!P7)="Strongly Disagree"),1,IF(TRIM('Student Raw Data'!P7)="Disagree",2,IF(OR(TRIM('Student Raw Data'!P7)="Neutral",TRIM('Student Raw Data'!P7)="Neither Agree nor Disagree"),3,IF(TRIM('Student Raw Data'!P7)="Agree",4,IF(OR(TRIM('Student Raw Data'!P7)="Strongly agree",TRIM('Student Raw Data'!P7)="Strongly Agree"),5,""))))))</f>
        <v>5</v>
      </c>
      <c r="Q7" s="3">
        <f>IF('Student Raw Data'!Q7="","",IF(OR(TRIM('Student Raw Data'!Q7)="Strongly disagree",TRIM('Student Raw Data'!Q7)="Strongly Disagree"),1,IF(TRIM('Student Raw Data'!Q7)="Disagree",2,IF(OR(TRIM('Student Raw Data'!Q7)="Neutral",TRIM('Student Raw Data'!Q7)="Neither Agree nor Disagree"),3,IF(TRIM('Student Raw Data'!Q7)="Agree",4,IF(OR(TRIM('Student Raw Data'!Q7)="Strongly agree",TRIM('Student Raw Data'!Q7)="Strongly Agree"),5,""))))))</f>
        <v>5</v>
      </c>
      <c r="R7" s="3">
        <f>IF('Student Raw Data'!R7="","",IF(OR(TRIM('Student Raw Data'!R7)="Strongly disagree",TRIM('Student Raw Data'!R7)="Strongly Disagree"),1,IF(TRIM('Student Raw Data'!R7)="Disagree",2,IF(OR(TRIM('Student Raw Data'!R7)="Neutral",TRIM('Student Raw Data'!R7)="Neither Agree nor Disagree"),3,IF(TRIM('Student Raw Data'!R7)="Agree",4,IF(OR(TRIM('Student Raw Data'!R7)="Strongly agree",TRIM('Student Raw Data'!R7)="Strongly Agree"),5,""))))))</f>
        <v>5</v>
      </c>
      <c r="S7" s="3">
        <f>IF('Student Raw Data'!S7="","",IF(OR(TRIM('Student Raw Data'!S7)="Strongly disagree",TRIM('Student Raw Data'!S7)="Strongly Disagree"),1,IF(TRIM('Student Raw Data'!S7)="Disagree",2,IF(OR(TRIM('Student Raw Data'!S7)="Neutral",TRIM('Student Raw Data'!S7)="Neither Agree nor Disagree"),3,IF(TRIM('Student Raw Data'!S7)="Agree",4,IF(OR(TRIM('Student Raw Data'!S7)="Strongly agree",TRIM('Student Raw Data'!S7)="Strongly Agree"),5,""))))))</f>
        <v>5</v>
      </c>
      <c r="T7" s="3">
        <f>IF('Student Raw Data'!T7="","",IF(OR(TRIM('Student Raw Data'!T7)="Strongly disagree",TRIM('Student Raw Data'!T7)="Strongly Disagree"),1,IF(TRIM('Student Raw Data'!T7)="Disagree",2,IF(OR(TRIM('Student Raw Data'!T7)="Neutral",TRIM('Student Raw Data'!T7)="Neither Agree nor Disagree"),3,IF(TRIM('Student Raw Data'!T7)="Agree",4,IF(OR(TRIM('Student Raw Data'!T7)="Strongly agree",TRIM('Student Raw Data'!T7)="Strongly Agree"),5,""))))))</f>
        <v>5</v>
      </c>
      <c r="U7" s="3">
        <f>IF('Student Raw Data'!U7="","",IF(OR(TRIM('Student Raw Data'!U7)="Strongly disagree",TRIM('Student Raw Data'!U7)="Strongly Disagree"),1,IF(TRIM('Student Raw Data'!U7)="Disagree",2,IF(OR(TRIM('Student Raw Data'!U7)="Neutral",TRIM('Student Raw Data'!U7)="Neither Agree nor Disagree"),3,IF(TRIM('Student Raw Data'!U7)="Agree",4,IF(OR(TRIM('Student Raw Data'!U7)="Strongly agree",TRIM('Student Raw Data'!U7)="Strongly Agree"),5,""))))))</f>
        <v>4</v>
      </c>
      <c r="V7" s="3">
        <f>IF('Student Raw Data'!V7="","",IF(OR(TRIM('Student Raw Data'!V7)="Strongly disagree",TRIM('Student Raw Data'!V7)="Strongly Disagree"),1,IF(TRIM('Student Raw Data'!V7)="Disagree",2,IF(OR(TRIM('Student Raw Data'!V7)="Neutral",TRIM('Student Raw Data'!V7)="Neither Agree nor Disagree"),3,IF(TRIM('Student Raw Data'!V7)="Agree",4,IF(OR(TRIM('Student Raw Data'!V7)="Strongly agree",TRIM('Student Raw Data'!V7)="Strongly Agree"),5,""))))))</f>
        <v>5</v>
      </c>
      <c r="W7" s="3">
        <f>IF('Student Raw Data'!W7="","",IF(OR(TRIM('Student Raw Data'!W7)="Strongly disagree",TRIM('Student Raw Data'!W7)="Strongly Disagree"),1,IF(TRIM('Student Raw Data'!W7)="Disagree",2,IF(OR(TRIM('Student Raw Data'!W7)="Neutral",TRIM('Student Raw Data'!W7)="Neither Agree nor Disagree"),3,IF(TRIM('Student Raw Data'!W7)="Agree",4,IF(OR(TRIM('Student Raw Data'!W7)="Strongly agree",TRIM('Student Raw Data'!W7)="Strongly Agree"),5,""))))))</f>
        <v>5</v>
      </c>
      <c r="X7" s="3">
        <f>IF('Student Raw Data'!X7="","",IF(OR(TRIM('Student Raw Data'!X7)="Strongly disagree",TRIM('Student Raw Data'!X7)="Strongly Disagree"),1,IF(TRIM('Student Raw Data'!X7)="Disagree",2,IF(OR(TRIM('Student Raw Data'!X7)="Neutral",TRIM('Student Raw Data'!X7)="Neither Agree nor Disagree"),3,IF(TRIM('Student Raw Data'!X7)="Agree",4,IF(OR(TRIM('Student Raw Data'!X7)="Strongly agree",TRIM('Student Raw Data'!X7)="Strongly Agree"),5,""))))))</f>
        <v>4</v>
      </c>
      <c r="Y7" s="3">
        <f>IF('Student Raw Data'!Y7="","",IF(OR(TRIM('Student Raw Data'!Y7)="Strongly disagree",TRIM('Student Raw Data'!Y7)="Strongly Disagree"),1,IF(TRIM('Student Raw Data'!Y7)="Disagree",2,IF(OR(TRIM('Student Raw Data'!Y7)="Neutral",TRIM('Student Raw Data'!Y7)="Neither Agree nor Disagree"),3,IF(TRIM('Student Raw Data'!Y7)="Agree",4,IF(OR(TRIM('Student Raw Data'!Y7)="Strongly agree",TRIM('Student Raw Data'!Y7)="Strongly Agree"),5,""))))))</f>
        <v>5</v>
      </c>
      <c r="Z7" s="3">
        <f>IF('Student Raw Data'!Z7="","",IF(OR(TRIM('Student Raw Data'!Z7)="Strongly disagree",TRIM('Student Raw Data'!Z7)="Strongly Disagree"),1,IF(TRIM('Student Raw Data'!Z7)="Disagree",2,IF(OR(TRIM('Student Raw Data'!Z7)="Neutral",TRIM('Student Raw Data'!Z7)="Neither Agree nor Disagree"),3,IF(TRIM('Student Raw Data'!Z7)="Agree",4,IF(OR(TRIM('Student Raw Data'!Z7)="Strongly agree",TRIM('Student Raw Data'!Z7)="Strongly Agree"),5,""))))))</f>
        <v>4</v>
      </c>
      <c r="AA7" s="3">
        <f>'Student Raw Data'!AA7</f>
        <v>4</v>
      </c>
      <c r="AB7" s="3" t="str">
        <f>'Student Raw Data'!AB7</f>
        <v>Agree</v>
      </c>
      <c r="AC7" s="3" t="str">
        <f>'Student Raw Data'!AC7</f>
        <v>Probably Yes</v>
      </c>
      <c r="AD7" s="3" t="str">
        <f>'Student Raw Data'!AD7</f>
        <v xml:space="preserve">Less machines variety at the gym </v>
      </c>
      <c r="AE7" s="3" t="str">
        <f>'Student Raw Data'!AE7</f>
        <v xml:space="preserve">Install new machines for better experience </v>
      </c>
      <c r="AF7" s="3" t="str">
        <f>'Student Raw Data'!AF7</f>
        <v xml:space="preserve">There should be more exercise machines </v>
      </c>
    </row>
    <row r="8" spans="1:32" ht="16" x14ac:dyDescent="0.2">
      <c r="A8" s="2">
        <f>'Student Raw Data'!A8</f>
        <v>46277.3450687269</v>
      </c>
      <c r="B8" s="3" t="str">
        <f>'Student Raw Data'!B8</f>
        <v>Yes</v>
      </c>
      <c r="C8" s="3" t="str">
        <f>'Student Raw Data'!C8</f>
        <v>PGDM-FM</v>
      </c>
      <c r="D8" s="3" t="str">
        <f>'Student Raw Data'!D8</f>
        <v>Daily</v>
      </c>
      <c r="E8" s="3" t="str">
        <f>'Student Raw Data'!E8</f>
        <v>3–6 months</v>
      </c>
      <c r="F8" s="3" t="str">
        <f>'Student Raw Data'!F8</f>
        <v>No specific preference</v>
      </c>
      <c r="G8" s="3">
        <f>IF('Student Raw Data'!G8="","",IF(OR(TRIM('Student Raw Data'!G8)="Strongly disagree",TRIM('Student Raw Data'!G8)="Strongly Disagree"),1,IF(TRIM('Student Raw Data'!G8)="Disagree",2,IF(OR(TRIM('Student Raw Data'!G8)="Neutral",TRIM('Student Raw Data'!G8)="Neither Agree nor Disagree"),3,IF(TRIM('Student Raw Data'!G8)="Agree",4,IF(OR(TRIM('Student Raw Data'!G8)="Strongly agree",TRIM('Student Raw Data'!G8)="Strongly Agree"),5,""))))))</f>
        <v>4</v>
      </c>
      <c r="H8" s="3">
        <f>IF('Student Raw Data'!H8="","",IF(OR(TRIM('Student Raw Data'!H8)="Strongly disagree",TRIM('Student Raw Data'!H8)="Strongly Disagree"),1,IF(TRIM('Student Raw Data'!H8)="Disagree",2,IF(OR(TRIM('Student Raw Data'!H8)="Neutral",TRIM('Student Raw Data'!H8)="Neither Agree nor Disagree"),3,IF(TRIM('Student Raw Data'!H8)="Agree",4,IF(OR(TRIM('Student Raw Data'!H8)="Strongly agree",TRIM('Student Raw Data'!H8)="Strongly Agree"),5,""))))))</f>
        <v>4</v>
      </c>
      <c r="I8" s="3">
        <f>IF('Student Raw Data'!I8="","",IF(OR(TRIM('Student Raw Data'!I8)="Strongly disagree",TRIM('Student Raw Data'!I8)="Strongly Disagree"),1,IF(TRIM('Student Raw Data'!I8)="Disagree",2,IF(OR(TRIM('Student Raw Data'!I8)="Neutral",TRIM('Student Raw Data'!I8)="Neither Agree nor Disagree"),3,IF(TRIM('Student Raw Data'!I8)="Agree",4,IF(OR(TRIM('Student Raw Data'!I8)="Strongly agree",TRIM('Student Raw Data'!I8)="Strongly Agree"),5,""))))))</f>
        <v>5</v>
      </c>
      <c r="J8" s="3">
        <f>IF('Student Raw Data'!J8="","",IF(OR(TRIM('Student Raw Data'!J8)="Strongly disagree",TRIM('Student Raw Data'!J8)="Strongly Disagree"),1,IF(TRIM('Student Raw Data'!J8)="Disagree",2,IF(OR(TRIM('Student Raw Data'!J8)="Neutral",TRIM('Student Raw Data'!J8)="Neither Agree nor Disagree"),3,IF(TRIM('Student Raw Data'!J8)="Agree",4,IF(OR(TRIM('Student Raw Data'!J8)="Strongly agree",TRIM('Student Raw Data'!J8)="Strongly Agree"),5,""))))))</f>
        <v>5</v>
      </c>
      <c r="K8" s="3">
        <f>IF('Student Raw Data'!K8="","",IF(OR(TRIM('Student Raw Data'!K8)="Strongly disagree",TRIM('Student Raw Data'!K8)="Strongly Disagree"),1,IF(TRIM('Student Raw Data'!K8)="Disagree",2,IF(OR(TRIM('Student Raw Data'!K8)="Neutral",TRIM('Student Raw Data'!K8)="Neither Agree nor Disagree"),3,IF(TRIM('Student Raw Data'!K8)="Agree",4,IF(OR(TRIM('Student Raw Data'!K8)="Strongly agree",TRIM('Student Raw Data'!K8)="Strongly Agree"),5,""))))))</f>
        <v>4</v>
      </c>
      <c r="L8" s="3">
        <f>IF('Student Raw Data'!L8="","",IF(OR(TRIM('Student Raw Data'!L8)="Strongly disagree",TRIM('Student Raw Data'!L8)="Strongly Disagree"),1,IF(TRIM('Student Raw Data'!L8)="Disagree",2,IF(OR(TRIM('Student Raw Data'!L8)="Neutral",TRIM('Student Raw Data'!L8)="Neither Agree nor Disagree"),3,IF(TRIM('Student Raw Data'!L8)="Agree",4,IF(OR(TRIM('Student Raw Data'!L8)="Strongly agree",TRIM('Student Raw Data'!L8)="Strongly Agree"),5,""))))))</f>
        <v>4</v>
      </c>
      <c r="M8" s="3">
        <f>IF('Student Raw Data'!M8="","",IF(OR(TRIM('Student Raw Data'!M8)="Strongly disagree",TRIM('Student Raw Data'!M8)="Strongly Disagree"),1,IF(TRIM('Student Raw Data'!M8)="Disagree",2,IF(OR(TRIM('Student Raw Data'!M8)="Neutral",TRIM('Student Raw Data'!M8)="Neither Agree nor Disagree"),3,IF(TRIM('Student Raw Data'!M8)="Agree",4,IF(OR(TRIM('Student Raw Data'!M8)="Strongly agree",TRIM('Student Raw Data'!M8)="Strongly Agree"),5,""))))))</f>
        <v>5</v>
      </c>
      <c r="N8" s="3">
        <f>IF('Student Raw Data'!N8="","",IF(OR(TRIM('Student Raw Data'!N8)="Strongly disagree",TRIM('Student Raw Data'!N8)="Strongly Disagree"),1,IF(TRIM('Student Raw Data'!N8)="Disagree",2,IF(OR(TRIM('Student Raw Data'!N8)="Neutral",TRIM('Student Raw Data'!N8)="Neither Agree nor Disagree"),3,IF(TRIM('Student Raw Data'!N8)="Agree",4,IF(OR(TRIM('Student Raw Data'!N8)="Strongly agree",TRIM('Student Raw Data'!N8)="Strongly Agree"),5,""))))))</f>
        <v>2</v>
      </c>
      <c r="O8" s="3">
        <f>IF('Student Raw Data'!O8="","",IF(OR(TRIM('Student Raw Data'!O8)="Strongly disagree",TRIM('Student Raw Data'!O8)="Strongly Disagree"),1,IF(TRIM('Student Raw Data'!O8)="Disagree",2,IF(OR(TRIM('Student Raw Data'!O8)="Neutral",TRIM('Student Raw Data'!O8)="Neither Agree nor Disagree"),3,IF(TRIM('Student Raw Data'!O8)="Agree",4,IF(OR(TRIM('Student Raw Data'!O8)="Strongly agree",TRIM('Student Raw Data'!O8)="Strongly Agree"),5,""))))))</f>
        <v>3</v>
      </c>
      <c r="P8" s="3">
        <f>IF('Student Raw Data'!P8="","",IF(OR(TRIM('Student Raw Data'!P8)="Strongly disagree",TRIM('Student Raw Data'!P8)="Strongly Disagree"),1,IF(TRIM('Student Raw Data'!P8)="Disagree",2,IF(OR(TRIM('Student Raw Data'!P8)="Neutral",TRIM('Student Raw Data'!P8)="Neither Agree nor Disagree"),3,IF(TRIM('Student Raw Data'!P8)="Agree",4,IF(OR(TRIM('Student Raw Data'!P8)="Strongly agree",TRIM('Student Raw Data'!P8)="Strongly Agree"),5,""))))))</f>
        <v>5</v>
      </c>
      <c r="Q8" s="3">
        <f>IF('Student Raw Data'!Q8="","",IF(OR(TRIM('Student Raw Data'!Q8)="Strongly disagree",TRIM('Student Raw Data'!Q8)="Strongly Disagree"),1,IF(TRIM('Student Raw Data'!Q8)="Disagree",2,IF(OR(TRIM('Student Raw Data'!Q8)="Neutral",TRIM('Student Raw Data'!Q8)="Neither Agree nor Disagree"),3,IF(TRIM('Student Raw Data'!Q8)="Agree",4,IF(OR(TRIM('Student Raw Data'!Q8)="Strongly agree",TRIM('Student Raw Data'!Q8)="Strongly Agree"),5,""))))))</f>
        <v>5</v>
      </c>
      <c r="R8" s="3">
        <f>IF('Student Raw Data'!R8="","",IF(OR(TRIM('Student Raw Data'!R8)="Strongly disagree",TRIM('Student Raw Data'!R8)="Strongly Disagree"),1,IF(TRIM('Student Raw Data'!R8)="Disagree",2,IF(OR(TRIM('Student Raw Data'!R8)="Neutral",TRIM('Student Raw Data'!R8)="Neither Agree nor Disagree"),3,IF(TRIM('Student Raw Data'!R8)="Agree",4,IF(OR(TRIM('Student Raw Data'!R8)="Strongly agree",TRIM('Student Raw Data'!R8)="Strongly Agree"),5,""))))))</f>
        <v>5</v>
      </c>
      <c r="S8" s="3">
        <f>IF('Student Raw Data'!S8="","",IF(OR(TRIM('Student Raw Data'!S8)="Strongly disagree",TRIM('Student Raw Data'!S8)="Strongly Disagree"),1,IF(TRIM('Student Raw Data'!S8)="Disagree",2,IF(OR(TRIM('Student Raw Data'!S8)="Neutral",TRIM('Student Raw Data'!S8)="Neither Agree nor Disagree"),3,IF(TRIM('Student Raw Data'!S8)="Agree",4,IF(OR(TRIM('Student Raw Data'!S8)="Strongly agree",TRIM('Student Raw Data'!S8)="Strongly Agree"),5,""))))))</f>
        <v>5</v>
      </c>
      <c r="T8" s="3">
        <f>IF('Student Raw Data'!T8="","",IF(OR(TRIM('Student Raw Data'!T8)="Strongly disagree",TRIM('Student Raw Data'!T8)="Strongly Disagree"),1,IF(TRIM('Student Raw Data'!T8)="Disagree",2,IF(OR(TRIM('Student Raw Data'!T8)="Neutral",TRIM('Student Raw Data'!T8)="Neither Agree nor Disagree"),3,IF(TRIM('Student Raw Data'!T8)="Agree",4,IF(OR(TRIM('Student Raw Data'!T8)="Strongly agree",TRIM('Student Raw Data'!T8)="Strongly Agree"),5,""))))))</f>
        <v>5</v>
      </c>
      <c r="U8" s="3">
        <f>IF('Student Raw Data'!U8="","",IF(OR(TRIM('Student Raw Data'!U8)="Strongly disagree",TRIM('Student Raw Data'!U8)="Strongly Disagree"),1,IF(TRIM('Student Raw Data'!U8)="Disagree",2,IF(OR(TRIM('Student Raw Data'!U8)="Neutral",TRIM('Student Raw Data'!U8)="Neither Agree nor Disagree"),3,IF(TRIM('Student Raw Data'!U8)="Agree",4,IF(OR(TRIM('Student Raw Data'!U8)="Strongly agree",TRIM('Student Raw Data'!U8)="Strongly Agree"),5,""))))))</f>
        <v>5</v>
      </c>
      <c r="V8" s="3">
        <f>IF('Student Raw Data'!V8="","",IF(OR(TRIM('Student Raw Data'!V8)="Strongly disagree",TRIM('Student Raw Data'!V8)="Strongly Disagree"),1,IF(TRIM('Student Raw Data'!V8)="Disagree",2,IF(OR(TRIM('Student Raw Data'!V8)="Neutral",TRIM('Student Raw Data'!V8)="Neither Agree nor Disagree"),3,IF(TRIM('Student Raw Data'!V8)="Agree",4,IF(OR(TRIM('Student Raw Data'!V8)="Strongly agree",TRIM('Student Raw Data'!V8)="Strongly Agree"),5,""))))))</f>
        <v>5</v>
      </c>
      <c r="W8" s="3">
        <f>IF('Student Raw Data'!W8="","",IF(OR(TRIM('Student Raw Data'!W8)="Strongly disagree",TRIM('Student Raw Data'!W8)="Strongly Disagree"),1,IF(TRIM('Student Raw Data'!W8)="Disagree",2,IF(OR(TRIM('Student Raw Data'!W8)="Neutral",TRIM('Student Raw Data'!W8)="Neither Agree nor Disagree"),3,IF(TRIM('Student Raw Data'!W8)="Agree",4,IF(OR(TRIM('Student Raw Data'!W8)="Strongly agree",TRIM('Student Raw Data'!W8)="Strongly Agree"),5,""))))))</f>
        <v>5</v>
      </c>
      <c r="X8" s="3">
        <f>IF('Student Raw Data'!X8="","",IF(OR(TRIM('Student Raw Data'!X8)="Strongly disagree",TRIM('Student Raw Data'!X8)="Strongly Disagree"),1,IF(TRIM('Student Raw Data'!X8)="Disagree",2,IF(OR(TRIM('Student Raw Data'!X8)="Neutral",TRIM('Student Raw Data'!X8)="Neither Agree nor Disagree"),3,IF(TRIM('Student Raw Data'!X8)="Agree",4,IF(OR(TRIM('Student Raw Data'!X8)="Strongly agree",TRIM('Student Raw Data'!X8)="Strongly Agree"),5,""))))))</f>
        <v>2</v>
      </c>
      <c r="Y8" s="3">
        <f>IF('Student Raw Data'!Y8="","",IF(OR(TRIM('Student Raw Data'!Y8)="Strongly disagree",TRIM('Student Raw Data'!Y8)="Strongly Disagree"),1,IF(TRIM('Student Raw Data'!Y8)="Disagree",2,IF(OR(TRIM('Student Raw Data'!Y8)="Neutral",TRIM('Student Raw Data'!Y8)="Neither Agree nor Disagree"),3,IF(TRIM('Student Raw Data'!Y8)="Agree",4,IF(OR(TRIM('Student Raw Data'!Y8)="Strongly agree",TRIM('Student Raw Data'!Y8)="Strongly Agree"),5,""))))))</f>
        <v>5</v>
      </c>
      <c r="Z8" s="3">
        <f>IF('Student Raw Data'!Z8="","",IF(OR(TRIM('Student Raw Data'!Z8)="Strongly disagree",TRIM('Student Raw Data'!Z8)="Strongly Disagree"),1,IF(TRIM('Student Raw Data'!Z8)="Disagree",2,IF(OR(TRIM('Student Raw Data'!Z8)="Neutral",TRIM('Student Raw Data'!Z8)="Neither Agree nor Disagree"),3,IF(TRIM('Student Raw Data'!Z8)="Agree",4,IF(OR(TRIM('Student Raw Data'!Z8)="Strongly agree",TRIM('Student Raw Data'!Z8)="Strongly Agree"),5,""))))))</f>
        <v>5</v>
      </c>
      <c r="AA8" s="3">
        <f>'Student Raw Data'!AA8</f>
        <v>5</v>
      </c>
      <c r="AB8" s="3" t="str">
        <f>'Student Raw Data'!AB8</f>
        <v>Strongly Agree</v>
      </c>
      <c r="AC8" s="3" t="str">
        <f>'Student Raw Data'!AC8</f>
        <v>Definitely Yes</v>
      </c>
      <c r="AD8" s="3">
        <f>'Student Raw Data'!AD8</f>
        <v>0</v>
      </c>
      <c r="AE8" s="3" t="str">
        <f>'Student Raw Data'!AE8</f>
        <v>Please change few machines that are just taking space.</v>
      </c>
      <c r="AF8" s="3">
        <f>'Student Raw Data'!AF8</f>
        <v>0</v>
      </c>
    </row>
    <row r="9" spans="1:32" ht="16" x14ac:dyDescent="0.2">
      <c r="A9" s="2">
        <f>'Student Raw Data'!A9</f>
        <v>46277.390059351899</v>
      </c>
      <c r="B9" s="3" t="str">
        <f>'Student Raw Data'!B9</f>
        <v>Yes</v>
      </c>
      <c r="C9" s="3" t="str">
        <f>'Student Raw Data'!C9</f>
        <v>PGDM</v>
      </c>
      <c r="D9" s="3" t="str">
        <f>'Student Raw Data'!D9</f>
        <v>Daily</v>
      </c>
      <c r="E9" s="3" t="str">
        <f>'Student Raw Data'!E9</f>
        <v>More than 1 year</v>
      </c>
      <c r="F9" s="3" t="str">
        <f>'Student Raw Data'!F9</f>
        <v>Evening</v>
      </c>
      <c r="G9" s="3">
        <f>IF('Student Raw Data'!G9="","",IF(OR(TRIM('Student Raw Data'!G9)="Strongly disagree",TRIM('Student Raw Data'!G9)="Strongly Disagree"),1,IF(TRIM('Student Raw Data'!G9)="Disagree",2,IF(OR(TRIM('Student Raw Data'!G9)="Neutral",TRIM('Student Raw Data'!G9)="Neither Agree nor Disagree"),3,IF(TRIM('Student Raw Data'!G9)="Agree",4,IF(OR(TRIM('Student Raw Data'!G9)="Strongly agree",TRIM('Student Raw Data'!G9)="Strongly Agree"),5,""))))))</f>
        <v>4</v>
      </c>
      <c r="H9" s="3">
        <f>IF('Student Raw Data'!H9="","",IF(OR(TRIM('Student Raw Data'!H9)="Strongly disagree",TRIM('Student Raw Data'!H9)="Strongly Disagree"),1,IF(TRIM('Student Raw Data'!H9)="Disagree",2,IF(OR(TRIM('Student Raw Data'!H9)="Neutral",TRIM('Student Raw Data'!H9)="Neither Agree nor Disagree"),3,IF(TRIM('Student Raw Data'!H9)="Agree",4,IF(OR(TRIM('Student Raw Data'!H9)="Strongly agree",TRIM('Student Raw Data'!H9)="Strongly Agree"),5,""))))))</f>
        <v>1</v>
      </c>
      <c r="I9" s="3">
        <f>IF('Student Raw Data'!I9="","",IF(OR(TRIM('Student Raw Data'!I9)="Strongly disagree",TRIM('Student Raw Data'!I9)="Strongly Disagree"),1,IF(TRIM('Student Raw Data'!I9)="Disagree",2,IF(OR(TRIM('Student Raw Data'!I9)="Neutral",TRIM('Student Raw Data'!I9)="Neither Agree nor Disagree"),3,IF(TRIM('Student Raw Data'!I9)="Agree",4,IF(OR(TRIM('Student Raw Data'!I9)="Strongly agree",TRIM('Student Raw Data'!I9)="Strongly Agree"),5,""))))))</f>
        <v>5</v>
      </c>
      <c r="J9" s="3">
        <f>IF('Student Raw Data'!J9="","",IF(OR(TRIM('Student Raw Data'!J9)="Strongly disagree",TRIM('Student Raw Data'!J9)="Strongly Disagree"),1,IF(TRIM('Student Raw Data'!J9)="Disagree",2,IF(OR(TRIM('Student Raw Data'!J9)="Neutral",TRIM('Student Raw Data'!J9)="Neither Agree nor Disagree"),3,IF(TRIM('Student Raw Data'!J9)="Agree",4,IF(OR(TRIM('Student Raw Data'!J9)="Strongly agree",TRIM('Student Raw Data'!J9)="Strongly Agree"),5,""))))))</f>
        <v>5</v>
      </c>
      <c r="K9" s="3">
        <f>IF('Student Raw Data'!K9="","",IF(OR(TRIM('Student Raw Data'!K9)="Strongly disagree",TRIM('Student Raw Data'!K9)="Strongly Disagree"),1,IF(TRIM('Student Raw Data'!K9)="Disagree",2,IF(OR(TRIM('Student Raw Data'!K9)="Neutral",TRIM('Student Raw Data'!K9)="Neither Agree nor Disagree"),3,IF(TRIM('Student Raw Data'!K9)="Agree",4,IF(OR(TRIM('Student Raw Data'!K9)="Strongly agree",TRIM('Student Raw Data'!K9)="Strongly Agree"),5,""))))))</f>
        <v>4</v>
      </c>
      <c r="L9" s="3">
        <f>IF('Student Raw Data'!L9="","",IF(OR(TRIM('Student Raw Data'!L9)="Strongly disagree",TRIM('Student Raw Data'!L9)="Strongly Disagree"),1,IF(TRIM('Student Raw Data'!L9)="Disagree",2,IF(OR(TRIM('Student Raw Data'!L9)="Neutral",TRIM('Student Raw Data'!L9)="Neither Agree nor Disagree"),3,IF(TRIM('Student Raw Data'!L9)="Agree",4,IF(OR(TRIM('Student Raw Data'!L9)="Strongly agree",TRIM('Student Raw Data'!L9)="Strongly Agree"),5,""))))))</f>
        <v>5</v>
      </c>
      <c r="M9" s="3">
        <f>IF('Student Raw Data'!M9="","",IF(OR(TRIM('Student Raw Data'!M9)="Strongly disagree",TRIM('Student Raw Data'!M9)="Strongly Disagree"),1,IF(TRIM('Student Raw Data'!M9)="Disagree",2,IF(OR(TRIM('Student Raw Data'!M9)="Neutral",TRIM('Student Raw Data'!M9)="Neither Agree nor Disagree"),3,IF(TRIM('Student Raw Data'!M9)="Agree",4,IF(OR(TRIM('Student Raw Data'!M9)="Strongly agree",TRIM('Student Raw Data'!M9)="Strongly Agree"),5,""))))))</f>
        <v>5</v>
      </c>
      <c r="N9" s="3">
        <f>IF('Student Raw Data'!N9="","",IF(OR(TRIM('Student Raw Data'!N9)="Strongly disagree",TRIM('Student Raw Data'!N9)="Strongly Disagree"),1,IF(TRIM('Student Raw Data'!N9)="Disagree",2,IF(OR(TRIM('Student Raw Data'!N9)="Neutral",TRIM('Student Raw Data'!N9)="Neither Agree nor Disagree"),3,IF(TRIM('Student Raw Data'!N9)="Agree",4,IF(OR(TRIM('Student Raw Data'!N9)="Strongly agree",TRIM('Student Raw Data'!N9)="Strongly Agree"),5,""))))))</f>
        <v>5</v>
      </c>
      <c r="O9" s="3">
        <f>IF('Student Raw Data'!O9="","",IF(OR(TRIM('Student Raw Data'!O9)="Strongly disagree",TRIM('Student Raw Data'!O9)="Strongly Disagree"),1,IF(TRIM('Student Raw Data'!O9)="Disagree",2,IF(OR(TRIM('Student Raw Data'!O9)="Neutral",TRIM('Student Raw Data'!O9)="Neither Agree nor Disagree"),3,IF(TRIM('Student Raw Data'!O9)="Agree",4,IF(OR(TRIM('Student Raw Data'!O9)="Strongly agree",TRIM('Student Raw Data'!O9)="Strongly Agree"),5,""))))))</f>
        <v>5</v>
      </c>
      <c r="P9" s="3">
        <f>IF('Student Raw Data'!P9="","",IF(OR(TRIM('Student Raw Data'!P9)="Strongly disagree",TRIM('Student Raw Data'!P9)="Strongly Disagree"),1,IF(TRIM('Student Raw Data'!P9)="Disagree",2,IF(OR(TRIM('Student Raw Data'!P9)="Neutral",TRIM('Student Raw Data'!P9)="Neither Agree nor Disagree"),3,IF(TRIM('Student Raw Data'!P9)="Agree",4,IF(OR(TRIM('Student Raw Data'!P9)="Strongly agree",TRIM('Student Raw Data'!P9)="Strongly Agree"),5,""))))))</f>
        <v>5</v>
      </c>
      <c r="Q9" s="3">
        <f>IF('Student Raw Data'!Q9="","",IF(OR(TRIM('Student Raw Data'!Q9)="Strongly disagree",TRIM('Student Raw Data'!Q9)="Strongly Disagree"),1,IF(TRIM('Student Raw Data'!Q9)="Disagree",2,IF(OR(TRIM('Student Raw Data'!Q9)="Neutral",TRIM('Student Raw Data'!Q9)="Neither Agree nor Disagree"),3,IF(TRIM('Student Raw Data'!Q9)="Agree",4,IF(OR(TRIM('Student Raw Data'!Q9)="Strongly agree",TRIM('Student Raw Data'!Q9)="Strongly Agree"),5,""))))))</f>
        <v>5</v>
      </c>
      <c r="R9" s="3">
        <f>IF('Student Raw Data'!R9="","",IF(OR(TRIM('Student Raw Data'!R9)="Strongly disagree",TRIM('Student Raw Data'!R9)="Strongly Disagree"),1,IF(TRIM('Student Raw Data'!R9)="Disagree",2,IF(OR(TRIM('Student Raw Data'!R9)="Neutral",TRIM('Student Raw Data'!R9)="Neither Agree nor Disagree"),3,IF(TRIM('Student Raw Data'!R9)="Agree",4,IF(OR(TRIM('Student Raw Data'!R9)="Strongly agree",TRIM('Student Raw Data'!R9)="Strongly Agree"),5,""))))))</f>
        <v>5</v>
      </c>
      <c r="S9" s="3">
        <f>IF('Student Raw Data'!S9="","",IF(OR(TRIM('Student Raw Data'!S9)="Strongly disagree",TRIM('Student Raw Data'!S9)="Strongly Disagree"),1,IF(TRIM('Student Raw Data'!S9)="Disagree",2,IF(OR(TRIM('Student Raw Data'!S9)="Neutral",TRIM('Student Raw Data'!S9)="Neither Agree nor Disagree"),3,IF(TRIM('Student Raw Data'!S9)="Agree",4,IF(OR(TRIM('Student Raw Data'!S9)="Strongly agree",TRIM('Student Raw Data'!S9)="Strongly Agree"),5,""))))))</f>
        <v>5</v>
      </c>
      <c r="T9" s="3">
        <f>IF('Student Raw Data'!T9="","",IF(OR(TRIM('Student Raw Data'!T9)="Strongly disagree",TRIM('Student Raw Data'!T9)="Strongly Disagree"),1,IF(TRIM('Student Raw Data'!T9)="Disagree",2,IF(OR(TRIM('Student Raw Data'!T9)="Neutral",TRIM('Student Raw Data'!T9)="Neither Agree nor Disagree"),3,IF(TRIM('Student Raw Data'!T9)="Agree",4,IF(OR(TRIM('Student Raw Data'!T9)="Strongly agree",TRIM('Student Raw Data'!T9)="Strongly Agree"),5,""))))))</f>
        <v>5</v>
      </c>
      <c r="U9" s="3">
        <f>IF('Student Raw Data'!U9="","",IF(OR(TRIM('Student Raw Data'!U9)="Strongly disagree",TRIM('Student Raw Data'!U9)="Strongly Disagree"),1,IF(TRIM('Student Raw Data'!U9)="Disagree",2,IF(OR(TRIM('Student Raw Data'!U9)="Neutral",TRIM('Student Raw Data'!U9)="Neither Agree nor Disagree"),3,IF(TRIM('Student Raw Data'!U9)="Agree",4,IF(OR(TRIM('Student Raw Data'!U9)="Strongly agree",TRIM('Student Raw Data'!U9)="Strongly Agree"),5,""))))))</f>
        <v>5</v>
      </c>
      <c r="V9" s="3">
        <f>IF('Student Raw Data'!V9="","",IF(OR(TRIM('Student Raw Data'!V9)="Strongly disagree",TRIM('Student Raw Data'!V9)="Strongly Disagree"),1,IF(TRIM('Student Raw Data'!V9)="Disagree",2,IF(OR(TRIM('Student Raw Data'!V9)="Neutral",TRIM('Student Raw Data'!V9)="Neither Agree nor Disagree"),3,IF(TRIM('Student Raw Data'!V9)="Agree",4,IF(OR(TRIM('Student Raw Data'!V9)="Strongly agree",TRIM('Student Raw Data'!V9)="Strongly Agree"),5,""))))))</f>
        <v>5</v>
      </c>
      <c r="W9" s="3">
        <f>IF('Student Raw Data'!W9="","",IF(OR(TRIM('Student Raw Data'!W9)="Strongly disagree",TRIM('Student Raw Data'!W9)="Strongly Disagree"),1,IF(TRIM('Student Raw Data'!W9)="Disagree",2,IF(OR(TRIM('Student Raw Data'!W9)="Neutral",TRIM('Student Raw Data'!W9)="Neither Agree nor Disagree"),3,IF(TRIM('Student Raw Data'!W9)="Agree",4,IF(OR(TRIM('Student Raw Data'!W9)="Strongly agree",TRIM('Student Raw Data'!W9)="Strongly Agree"),5,""))))))</f>
        <v>5</v>
      </c>
      <c r="X9" s="3">
        <f>IF('Student Raw Data'!X9="","",IF(OR(TRIM('Student Raw Data'!X9)="Strongly disagree",TRIM('Student Raw Data'!X9)="Strongly Disagree"),1,IF(TRIM('Student Raw Data'!X9)="Disagree",2,IF(OR(TRIM('Student Raw Data'!X9)="Neutral",TRIM('Student Raw Data'!X9)="Neither Agree nor Disagree"),3,IF(TRIM('Student Raw Data'!X9)="Agree",4,IF(OR(TRIM('Student Raw Data'!X9)="Strongly agree",TRIM('Student Raw Data'!X9)="Strongly Agree"),5,""))))))</f>
        <v>5</v>
      </c>
      <c r="Y9" s="3">
        <f>IF('Student Raw Data'!Y9="","",IF(OR(TRIM('Student Raw Data'!Y9)="Strongly disagree",TRIM('Student Raw Data'!Y9)="Strongly Disagree"),1,IF(TRIM('Student Raw Data'!Y9)="Disagree",2,IF(OR(TRIM('Student Raw Data'!Y9)="Neutral",TRIM('Student Raw Data'!Y9)="Neither Agree nor Disagree"),3,IF(TRIM('Student Raw Data'!Y9)="Agree",4,IF(OR(TRIM('Student Raw Data'!Y9)="Strongly agree",TRIM('Student Raw Data'!Y9)="Strongly Agree"),5,""))))))</f>
        <v>5</v>
      </c>
      <c r="Z9" s="3">
        <f>IF('Student Raw Data'!Z9="","",IF(OR(TRIM('Student Raw Data'!Z9)="Strongly disagree",TRIM('Student Raw Data'!Z9)="Strongly Disagree"),1,IF(TRIM('Student Raw Data'!Z9)="Disagree",2,IF(OR(TRIM('Student Raw Data'!Z9)="Neutral",TRIM('Student Raw Data'!Z9)="Neither Agree nor Disagree"),3,IF(TRIM('Student Raw Data'!Z9)="Agree",4,IF(OR(TRIM('Student Raw Data'!Z9)="Strongly agree",TRIM('Student Raw Data'!Z9)="Strongly Agree"),5,""))))))</f>
        <v>5</v>
      </c>
      <c r="AA9" s="3">
        <f>'Student Raw Data'!AA9</f>
        <v>5</v>
      </c>
      <c r="AB9" s="3" t="str">
        <f>'Student Raw Data'!AB9</f>
        <v>Agree</v>
      </c>
      <c r="AC9" s="3" t="str">
        <f>'Student Raw Data'!AC9</f>
        <v>Definitely Yes</v>
      </c>
      <c r="AD9" s="3" t="str">
        <f>'Student Raw Data'!AD9</f>
        <v xml:space="preserve">Very small as compared to other commercial gyms </v>
      </c>
      <c r="AE9" s="3" t="str">
        <f>'Student Raw Data'!AE9</f>
        <v xml:space="preserve">Add more machines </v>
      </c>
      <c r="AF9" s="3">
        <f>'Student Raw Data'!AF9</f>
        <v>0</v>
      </c>
    </row>
    <row r="10" spans="1:32" ht="16" x14ac:dyDescent="0.2">
      <c r="A10" s="2">
        <f>'Student Raw Data'!A10</f>
        <v>46277.393872488399</v>
      </c>
      <c r="B10" s="3" t="str">
        <f>'Student Raw Data'!B10</f>
        <v>Yes</v>
      </c>
      <c r="C10" s="3" t="str">
        <f>'Student Raw Data'!C10</f>
        <v>PGDM</v>
      </c>
      <c r="D10" s="3" t="str">
        <f>'Student Raw Data'!D10</f>
        <v>2-3 times a week</v>
      </c>
      <c r="E10" s="3" t="str">
        <f>'Student Raw Data'!E10</f>
        <v>Less than 1 month</v>
      </c>
      <c r="F10" s="3" t="str">
        <f>'Student Raw Data'!F10</f>
        <v>Morning</v>
      </c>
      <c r="G10" s="3">
        <f>IF('Student Raw Data'!G10="","",IF(OR(TRIM('Student Raw Data'!G10)="Strongly disagree",TRIM('Student Raw Data'!G10)="Strongly Disagree"),1,IF(TRIM('Student Raw Data'!G10)="Disagree",2,IF(OR(TRIM('Student Raw Data'!G10)="Neutral",TRIM('Student Raw Data'!G10)="Neither Agree nor Disagree"),3,IF(TRIM('Student Raw Data'!G10)="Agree",4,IF(OR(TRIM('Student Raw Data'!G10)="Strongly agree",TRIM('Student Raw Data'!G10)="Strongly Agree"),5,""))))))</f>
        <v>4</v>
      </c>
      <c r="H10" s="3">
        <f>IF('Student Raw Data'!H10="","",IF(OR(TRIM('Student Raw Data'!H10)="Strongly disagree",TRIM('Student Raw Data'!H10)="Strongly Disagree"),1,IF(TRIM('Student Raw Data'!H10)="Disagree",2,IF(OR(TRIM('Student Raw Data'!H10)="Neutral",TRIM('Student Raw Data'!H10)="Neither Agree nor Disagree"),3,IF(TRIM('Student Raw Data'!H10)="Agree",4,IF(OR(TRIM('Student Raw Data'!H10)="Strongly agree",TRIM('Student Raw Data'!H10)="Strongly Agree"),5,""))))))</f>
        <v>4</v>
      </c>
      <c r="I10" s="3">
        <f>IF('Student Raw Data'!I10="","",IF(OR(TRIM('Student Raw Data'!I10)="Strongly disagree",TRIM('Student Raw Data'!I10)="Strongly Disagree"),1,IF(TRIM('Student Raw Data'!I10)="Disagree",2,IF(OR(TRIM('Student Raw Data'!I10)="Neutral",TRIM('Student Raw Data'!I10)="Neither Agree nor Disagree"),3,IF(TRIM('Student Raw Data'!I10)="Agree",4,IF(OR(TRIM('Student Raw Data'!I10)="Strongly agree",TRIM('Student Raw Data'!I10)="Strongly Agree"),5,""))))))</f>
        <v>3</v>
      </c>
      <c r="J10" s="3">
        <f>IF('Student Raw Data'!J10="","",IF(OR(TRIM('Student Raw Data'!J10)="Strongly disagree",TRIM('Student Raw Data'!J10)="Strongly Disagree"),1,IF(TRIM('Student Raw Data'!J10)="Disagree",2,IF(OR(TRIM('Student Raw Data'!J10)="Neutral",TRIM('Student Raw Data'!J10)="Neither Agree nor Disagree"),3,IF(TRIM('Student Raw Data'!J10)="Agree",4,IF(OR(TRIM('Student Raw Data'!J10)="Strongly agree",TRIM('Student Raw Data'!J10)="Strongly Agree"),5,""))))))</f>
        <v>4</v>
      </c>
      <c r="K10" s="3">
        <f>IF('Student Raw Data'!K10="","",IF(OR(TRIM('Student Raw Data'!K10)="Strongly disagree",TRIM('Student Raw Data'!K10)="Strongly Disagree"),1,IF(TRIM('Student Raw Data'!K10)="Disagree",2,IF(OR(TRIM('Student Raw Data'!K10)="Neutral",TRIM('Student Raw Data'!K10)="Neither Agree nor Disagree"),3,IF(TRIM('Student Raw Data'!K10)="Agree",4,IF(OR(TRIM('Student Raw Data'!K10)="Strongly agree",TRIM('Student Raw Data'!K10)="Strongly Agree"),5,""))))))</f>
        <v>4</v>
      </c>
      <c r="L10" s="3">
        <f>IF('Student Raw Data'!L10="","",IF(OR(TRIM('Student Raw Data'!L10)="Strongly disagree",TRIM('Student Raw Data'!L10)="Strongly Disagree"),1,IF(TRIM('Student Raw Data'!L10)="Disagree",2,IF(OR(TRIM('Student Raw Data'!L10)="Neutral",TRIM('Student Raw Data'!L10)="Neither Agree nor Disagree"),3,IF(TRIM('Student Raw Data'!L10)="Agree",4,IF(OR(TRIM('Student Raw Data'!L10)="Strongly agree",TRIM('Student Raw Data'!L10)="Strongly Agree"),5,""))))))</f>
        <v>4</v>
      </c>
      <c r="M10" s="3">
        <f>IF('Student Raw Data'!M10="","",IF(OR(TRIM('Student Raw Data'!M10)="Strongly disagree",TRIM('Student Raw Data'!M10)="Strongly Disagree"),1,IF(TRIM('Student Raw Data'!M10)="Disagree",2,IF(OR(TRIM('Student Raw Data'!M10)="Neutral",TRIM('Student Raw Data'!M10)="Neither Agree nor Disagree"),3,IF(TRIM('Student Raw Data'!M10)="Agree",4,IF(OR(TRIM('Student Raw Data'!M10)="Strongly agree",TRIM('Student Raw Data'!M10)="Strongly Agree"),5,""))))))</f>
        <v>4</v>
      </c>
      <c r="N10" s="3">
        <f>IF('Student Raw Data'!N10="","",IF(OR(TRIM('Student Raw Data'!N10)="Strongly disagree",TRIM('Student Raw Data'!N10)="Strongly Disagree"),1,IF(TRIM('Student Raw Data'!N10)="Disagree",2,IF(OR(TRIM('Student Raw Data'!N10)="Neutral",TRIM('Student Raw Data'!N10)="Neither Agree nor Disagree"),3,IF(TRIM('Student Raw Data'!N10)="Agree",4,IF(OR(TRIM('Student Raw Data'!N10)="Strongly agree",TRIM('Student Raw Data'!N10)="Strongly Agree"),5,""))))))</f>
        <v>4</v>
      </c>
      <c r="O10" s="3">
        <f>IF('Student Raw Data'!O10="","",IF(OR(TRIM('Student Raw Data'!O10)="Strongly disagree",TRIM('Student Raw Data'!O10)="Strongly Disagree"),1,IF(TRIM('Student Raw Data'!O10)="Disagree",2,IF(OR(TRIM('Student Raw Data'!O10)="Neutral",TRIM('Student Raw Data'!O10)="Neither Agree nor Disagree"),3,IF(TRIM('Student Raw Data'!O10)="Agree",4,IF(OR(TRIM('Student Raw Data'!O10)="Strongly agree",TRIM('Student Raw Data'!O10)="Strongly Agree"),5,""))))))</f>
        <v>4</v>
      </c>
      <c r="P10" s="3">
        <f>IF('Student Raw Data'!P10="","",IF(OR(TRIM('Student Raw Data'!P10)="Strongly disagree",TRIM('Student Raw Data'!P10)="Strongly Disagree"),1,IF(TRIM('Student Raw Data'!P10)="Disagree",2,IF(OR(TRIM('Student Raw Data'!P10)="Neutral",TRIM('Student Raw Data'!P10)="Neither Agree nor Disagree"),3,IF(TRIM('Student Raw Data'!P10)="Agree",4,IF(OR(TRIM('Student Raw Data'!P10)="Strongly agree",TRIM('Student Raw Data'!P10)="Strongly Agree"),5,""))))))</f>
        <v>4</v>
      </c>
      <c r="Q10" s="3">
        <f>IF('Student Raw Data'!Q10="","",IF(OR(TRIM('Student Raw Data'!Q10)="Strongly disagree",TRIM('Student Raw Data'!Q10)="Strongly Disagree"),1,IF(TRIM('Student Raw Data'!Q10)="Disagree",2,IF(OR(TRIM('Student Raw Data'!Q10)="Neutral",TRIM('Student Raw Data'!Q10)="Neither Agree nor Disagree"),3,IF(TRIM('Student Raw Data'!Q10)="Agree",4,IF(OR(TRIM('Student Raw Data'!Q10)="Strongly agree",TRIM('Student Raw Data'!Q10)="Strongly Agree"),5,""))))))</f>
        <v>4</v>
      </c>
      <c r="R10" s="3">
        <f>IF('Student Raw Data'!R10="","",IF(OR(TRIM('Student Raw Data'!R10)="Strongly disagree",TRIM('Student Raw Data'!R10)="Strongly Disagree"),1,IF(TRIM('Student Raw Data'!R10)="Disagree",2,IF(OR(TRIM('Student Raw Data'!R10)="Neutral",TRIM('Student Raw Data'!R10)="Neither Agree nor Disagree"),3,IF(TRIM('Student Raw Data'!R10)="Agree",4,IF(OR(TRIM('Student Raw Data'!R10)="Strongly agree",TRIM('Student Raw Data'!R10)="Strongly Agree"),5,""))))))</f>
        <v>3</v>
      </c>
      <c r="S10" s="3">
        <f>IF('Student Raw Data'!S10="","",IF(OR(TRIM('Student Raw Data'!S10)="Strongly disagree",TRIM('Student Raw Data'!S10)="Strongly Disagree"),1,IF(TRIM('Student Raw Data'!S10)="Disagree",2,IF(OR(TRIM('Student Raw Data'!S10)="Neutral",TRIM('Student Raw Data'!S10)="Neither Agree nor Disagree"),3,IF(TRIM('Student Raw Data'!S10)="Agree",4,IF(OR(TRIM('Student Raw Data'!S10)="Strongly agree",TRIM('Student Raw Data'!S10)="Strongly Agree"),5,""))))))</f>
        <v>5</v>
      </c>
      <c r="T10" s="3">
        <f>IF('Student Raw Data'!T10="","",IF(OR(TRIM('Student Raw Data'!T10)="Strongly disagree",TRIM('Student Raw Data'!T10)="Strongly Disagree"),1,IF(TRIM('Student Raw Data'!T10)="Disagree",2,IF(OR(TRIM('Student Raw Data'!T10)="Neutral",TRIM('Student Raw Data'!T10)="Neither Agree nor Disagree"),3,IF(TRIM('Student Raw Data'!T10)="Agree",4,IF(OR(TRIM('Student Raw Data'!T10)="Strongly agree",TRIM('Student Raw Data'!T10)="Strongly Agree"),5,""))))))</f>
        <v>4</v>
      </c>
      <c r="U10" s="3">
        <f>IF('Student Raw Data'!U10="","",IF(OR(TRIM('Student Raw Data'!U10)="Strongly disagree",TRIM('Student Raw Data'!U10)="Strongly Disagree"),1,IF(TRIM('Student Raw Data'!U10)="Disagree",2,IF(OR(TRIM('Student Raw Data'!U10)="Neutral",TRIM('Student Raw Data'!U10)="Neither Agree nor Disagree"),3,IF(TRIM('Student Raw Data'!U10)="Agree",4,IF(OR(TRIM('Student Raw Data'!U10)="Strongly agree",TRIM('Student Raw Data'!U10)="Strongly Agree"),5,""))))))</f>
        <v>4</v>
      </c>
      <c r="V10" s="3">
        <f>IF('Student Raw Data'!V10="","",IF(OR(TRIM('Student Raw Data'!V10)="Strongly disagree",TRIM('Student Raw Data'!V10)="Strongly Disagree"),1,IF(TRIM('Student Raw Data'!V10)="Disagree",2,IF(OR(TRIM('Student Raw Data'!V10)="Neutral",TRIM('Student Raw Data'!V10)="Neither Agree nor Disagree"),3,IF(TRIM('Student Raw Data'!V10)="Agree",4,IF(OR(TRIM('Student Raw Data'!V10)="Strongly agree",TRIM('Student Raw Data'!V10)="Strongly Agree"),5,""))))))</f>
        <v>5</v>
      </c>
      <c r="W10" s="3">
        <f>IF('Student Raw Data'!W10="","",IF(OR(TRIM('Student Raw Data'!W10)="Strongly disagree",TRIM('Student Raw Data'!W10)="Strongly Disagree"),1,IF(TRIM('Student Raw Data'!W10)="Disagree",2,IF(OR(TRIM('Student Raw Data'!W10)="Neutral",TRIM('Student Raw Data'!W10)="Neither Agree nor Disagree"),3,IF(TRIM('Student Raw Data'!W10)="Agree",4,IF(OR(TRIM('Student Raw Data'!W10)="Strongly agree",TRIM('Student Raw Data'!W10)="Strongly Agree"),5,""))))))</f>
        <v>5</v>
      </c>
      <c r="X10" s="3">
        <f>IF('Student Raw Data'!X10="","",IF(OR(TRIM('Student Raw Data'!X10)="Strongly disagree",TRIM('Student Raw Data'!X10)="Strongly Disagree"),1,IF(TRIM('Student Raw Data'!X10)="Disagree",2,IF(OR(TRIM('Student Raw Data'!X10)="Neutral",TRIM('Student Raw Data'!X10)="Neither Agree nor Disagree"),3,IF(TRIM('Student Raw Data'!X10)="Agree",4,IF(OR(TRIM('Student Raw Data'!X10)="Strongly agree",TRIM('Student Raw Data'!X10)="Strongly Agree"),5,""))))))</f>
        <v>4</v>
      </c>
      <c r="Y10" s="3">
        <f>IF('Student Raw Data'!Y10="","",IF(OR(TRIM('Student Raw Data'!Y10)="Strongly disagree",TRIM('Student Raw Data'!Y10)="Strongly Disagree"),1,IF(TRIM('Student Raw Data'!Y10)="Disagree",2,IF(OR(TRIM('Student Raw Data'!Y10)="Neutral",TRIM('Student Raw Data'!Y10)="Neither Agree nor Disagree"),3,IF(TRIM('Student Raw Data'!Y10)="Agree",4,IF(OR(TRIM('Student Raw Data'!Y10)="Strongly agree",TRIM('Student Raw Data'!Y10)="Strongly Agree"),5,""))))))</f>
        <v>4</v>
      </c>
      <c r="Z10" s="3">
        <f>IF('Student Raw Data'!Z10="","",IF(OR(TRIM('Student Raw Data'!Z10)="Strongly disagree",TRIM('Student Raw Data'!Z10)="Strongly Disagree"),1,IF(TRIM('Student Raw Data'!Z10)="Disagree",2,IF(OR(TRIM('Student Raw Data'!Z10)="Neutral",TRIM('Student Raw Data'!Z10)="Neither Agree nor Disagree"),3,IF(TRIM('Student Raw Data'!Z10)="Agree",4,IF(OR(TRIM('Student Raw Data'!Z10)="Strongly agree",TRIM('Student Raw Data'!Z10)="Strongly Agree"),5,""))))))</f>
        <v>4</v>
      </c>
      <c r="AA10" s="3">
        <f>'Student Raw Data'!AA10</f>
        <v>4</v>
      </c>
      <c r="AB10" s="3" t="str">
        <f>'Student Raw Data'!AB10</f>
        <v>Agree</v>
      </c>
      <c r="AC10" s="3" t="str">
        <f>'Student Raw Data'!AC10</f>
        <v>Probably Yes</v>
      </c>
      <c r="AD10" s="3" t="str">
        <f>'Student Raw Data'!AD10</f>
        <v xml:space="preserve">Equipment and space problem </v>
      </c>
      <c r="AE10" s="3" t="str">
        <f>'Student Raw Data'!AE10</f>
        <v xml:space="preserve">Slot bookings </v>
      </c>
      <c r="AF10" s="3">
        <f>'Student Raw Data'!AF10</f>
        <v>0</v>
      </c>
    </row>
    <row r="11" spans="1:32" ht="16" x14ac:dyDescent="0.2">
      <c r="A11" s="2">
        <f>'Student Raw Data'!A11</f>
        <v>46278.544342384303</v>
      </c>
      <c r="B11" s="3" t="str">
        <f>'Student Raw Data'!B11</f>
        <v>Yes</v>
      </c>
      <c r="C11" s="3" t="str">
        <f>'Student Raw Data'!C11</f>
        <v>PGDM</v>
      </c>
      <c r="D11" s="3" t="str">
        <f>'Student Raw Data'!D11</f>
        <v>4-5 times a week</v>
      </c>
      <c r="E11" s="3" t="str">
        <f>'Student Raw Data'!E11</f>
        <v>3–6 months</v>
      </c>
      <c r="F11" s="3" t="str">
        <f>'Student Raw Data'!F11</f>
        <v>Evening</v>
      </c>
      <c r="G11" s="3">
        <f>IF('Student Raw Data'!G11="","",IF(OR(TRIM('Student Raw Data'!G11)="Strongly disagree",TRIM('Student Raw Data'!G11)="Strongly Disagree"),1,IF(TRIM('Student Raw Data'!G11)="Disagree",2,IF(OR(TRIM('Student Raw Data'!G11)="Neutral",TRIM('Student Raw Data'!G11)="Neither Agree nor Disagree"),3,IF(TRIM('Student Raw Data'!G11)="Agree",4,IF(OR(TRIM('Student Raw Data'!G11)="Strongly agree",TRIM('Student Raw Data'!G11)="Strongly Agree"),5,""))))))</f>
        <v>4</v>
      </c>
      <c r="H11" s="3">
        <f>IF('Student Raw Data'!H11="","",IF(OR(TRIM('Student Raw Data'!H11)="Strongly disagree",TRIM('Student Raw Data'!H11)="Strongly Disagree"),1,IF(TRIM('Student Raw Data'!H11)="Disagree",2,IF(OR(TRIM('Student Raw Data'!H11)="Neutral",TRIM('Student Raw Data'!H11)="Neither Agree nor Disagree"),3,IF(TRIM('Student Raw Data'!H11)="Agree",4,IF(OR(TRIM('Student Raw Data'!H11)="Strongly agree",TRIM('Student Raw Data'!H11)="Strongly Agree"),5,""))))))</f>
        <v>2</v>
      </c>
      <c r="I11" s="3">
        <f>IF('Student Raw Data'!I11="","",IF(OR(TRIM('Student Raw Data'!I11)="Strongly disagree",TRIM('Student Raw Data'!I11)="Strongly Disagree"),1,IF(TRIM('Student Raw Data'!I11)="Disagree",2,IF(OR(TRIM('Student Raw Data'!I11)="Neutral",TRIM('Student Raw Data'!I11)="Neither Agree nor Disagree"),3,IF(TRIM('Student Raw Data'!I11)="Agree",4,IF(OR(TRIM('Student Raw Data'!I11)="Strongly agree",TRIM('Student Raw Data'!I11)="Strongly Agree"),5,""))))))</f>
        <v>4</v>
      </c>
      <c r="J11" s="3">
        <f>IF('Student Raw Data'!J11="","",IF(OR(TRIM('Student Raw Data'!J11)="Strongly disagree",TRIM('Student Raw Data'!J11)="Strongly Disagree"),1,IF(TRIM('Student Raw Data'!J11)="Disagree",2,IF(OR(TRIM('Student Raw Data'!J11)="Neutral",TRIM('Student Raw Data'!J11)="Neither Agree nor Disagree"),3,IF(TRIM('Student Raw Data'!J11)="Agree",4,IF(OR(TRIM('Student Raw Data'!J11)="Strongly agree",TRIM('Student Raw Data'!J11)="Strongly Agree"),5,""))))))</f>
        <v>4</v>
      </c>
      <c r="K11" s="3">
        <f>IF('Student Raw Data'!K11="","",IF(OR(TRIM('Student Raw Data'!K11)="Strongly disagree",TRIM('Student Raw Data'!K11)="Strongly Disagree"),1,IF(TRIM('Student Raw Data'!K11)="Disagree",2,IF(OR(TRIM('Student Raw Data'!K11)="Neutral",TRIM('Student Raw Data'!K11)="Neither Agree nor Disagree"),3,IF(TRIM('Student Raw Data'!K11)="Agree",4,IF(OR(TRIM('Student Raw Data'!K11)="Strongly agree",TRIM('Student Raw Data'!K11)="Strongly Agree"),5,""))))))</f>
        <v>2</v>
      </c>
      <c r="L11" s="3">
        <f>IF('Student Raw Data'!L11="","",IF(OR(TRIM('Student Raw Data'!L11)="Strongly disagree",TRIM('Student Raw Data'!L11)="Strongly Disagree"),1,IF(TRIM('Student Raw Data'!L11)="Disagree",2,IF(OR(TRIM('Student Raw Data'!L11)="Neutral",TRIM('Student Raw Data'!L11)="Neither Agree nor Disagree"),3,IF(TRIM('Student Raw Data'!L11)="Agree",4,IF(OR(TRIM('Student Raw Data'!L11)="Strongly agree",TRIM('Student Raw Data'!L11)="Strongly Agree"),5,""))))))</f>
        <v>4</v>
      </c>
      <c r="M11" s="3">
        <f>IF('Student Raw Data'!M11="","",IF(OR(TRIM('Student Raw Data'!M11)="Strongly disagree",TRIM('Student Raw Data'!M11)="Strongly Disagree"),1,IF(TRIM('Student Raw Data'!M11)="Disagree",2,IF(OR(TRIM('Student Raw Data'!M11)="Neutral",TRIM('Student Raw Data'!M11)="Neither Agree nor Disagree"),3,IF(TRIM('Student Raw Data'!M11)="Agree",4,IF(OR(TRIM('Student Raw Data'!M11)="Strongly agree",TRIM('Student Raw Data'!M11)="Strongly Agree"),5,""))))))</f>
        <v>5</v>
      </c>
      <c r="N11" s="3">
        <f>IF('Student Raw Data'!N11="","",IF(OR(TRIM('Student Raw Data'!N11)="Strongly disagree",TRIM('Student Raw Data'!N11)="Strongly Disagree"),1,IF(TRIM('Student Raw Data'!N11)="Disagree",2,IF(OR(TRIM('Student Raw Data'!N11)="Neutral",TRIM('Student Raw Data'!N11)="Neither Agree nor Disagree"),3,IF(TRIM('Student Raw Data'!N11)="Agree",4,IF(OR(TRIM('Student Raw Data'!N11)="Strongly agree",TRIM('Student Raw Data'!N11)="Strongly Agree"),5,""))))))</f>
        <v>5</v>
      </c>
      <c r="O11" s="3">
        <f>IF('Student Raw Data'!O11="","",IF(OR(TRIM('Student Raw Data'!O11)="Strongly disagree",TRIM('Student Raw Data'!O11)="Strongly Disagree"),1,IF(TRIM('Student Raw Data'!O11)="Disagree",2,IF(OR(TRIM('Student Raw Data'!O11)="Neutral",TRIM('Student Raw Data'!O11)="Neither Agree nor Disagree"),3,IF(TRIM('Student Raw Data'!O11)="Agree",4,IF(OR(TRIM('Student Raw Data'!O11)="Strongly agree",TRIM('Student Raw Data'!O11)="Strongly Agree"),5,""))))))</f>
        <v>5</v>
      </c>
      <c r="P11" s="3">
        <f>IF('Student Raw Data'!P11="","",IF(OR(TRIM('Student Raw Data'!P11)="Strongly disagree",TRIM('Student Raw Data'!P11)="Strongly Disagree"),1,IF(TRIM('Student Raw Data'!P11)="Disagree",2,IF(OR(TRIM('Student Raw Data'!P11)="Neutral",TRIM('Student Raw Data'!P11)="Neither Agree nor Disagree"),3,IF(TRIM('Student Raw Data'!P11)="Agree",4,IF(OR(TRIM('Student Raw Data'!P11)="Strongly agree",TRIM('Student Raw Data'!P11)="Strongly Agree"),5,""))))))</f>
        <v>4</v>
      </c>
      <c r="Q11" s="3">
        <f>IF('Student Raw Data'!Q11="","",IF(OR(TRIM('Student Raw Data'!Q11)="Strongly disagree",TRIM('Student Raw Data'!Q11)="Strongly Disagree"),1,IF(TRIM('Student Raw Data'!Q11)="Disagree",2,IF(OR(TRIM('Student Raw Data'!Q11)="Neutral",TRIM('Student Raw Data'!Q11)="Neither Agree nor Disagree"),3,IF(TRIM('Student Raw Data'!Q11)="Agree",4,IF(OR(TRIM('Student Raw Data'!Q11)="Strongly agree",TRIM('Student Raw Data'!Q11)="Strongly Agree"),5,""))))))</f>
        <v>4</v>
      </c>
      <c r="R11" s="3">
        <f>IF('Student Raw Data'!R11="","",IF(OR(TRIM('Student Raw Data'!R11)="Strongly disagree",TRIM('Student Raw Data'!R11)="Strongly Disagree"),1,IF(TRIM('Student Raw Data'!R11)="Disagree",2,IF(OR(TRIM('Student Raw Data'!R11)="Neutral",TRIM('Student Raw Data'!R11)="Neither Agree nor Disagree"),3,IF(TRIM('Student Raw Data'!R11)="Agree",4,IF(OR(TRIM('Student Raw Data'!R11)="Strongly agree",TRIM('Student Raw Data'!R11)="Strongly Agree"),5,""))))))</f>
        <v>5</v>
      </c>
      <c r="S11" s="3">
        <f>IF('Student Raw Data'!S11="","",IF(OR(TRIM('Student Raw Data'!S11)="Strongly disagree",TRIM('Student Raw Data'!S11)="Strongly Disagree"),1,IF(TRIM('Student Raw Data'!S11)="Disagree",2,IF(OR(TRIM('Student Raw Data'!S11)="Neutral",TRIM('Student Raw Data'!S11)="Neither Agree nor Disagree"),3,IF(TRIM('Student Raw Data'!S11)="Agree",4,IF(OR(TRIM('Student Raw Data'!S11)="Strongly agree",TRIM('Student Raw Data'!S11)="Strongly Agree"),5,""))))))</f>
        <v>5</v>
      </c>
      <c r="T11" s="3">
        <f>IF('Student Raw Data'!T11="","",IF(OR(TRIM('Student Raw Data'!T11)="Strongly disagree",TRIM('Student Raw Data'!T11)="Strongly Disagree"),1,IF(TRIM('Student Raw Data'!T11)="Disagree",2,IF(OR(TRIM('Student Raw Data'!T11)="Neutral",TRIM('Student Raw Data'!T11)="Neither Agree nor Disagree"),3,IF(TRIM('Student Raw Data'!T11)="Agree",4,IF(OR(TRIM('Student Raw Data'!T11)="Strongly agree",TRIM('Student Raw Data'!T11)="Strongly Agree"),5,""))))))</f>
        <v>4</v>
      </c>
      <c r="U11" s="3">
        <f>IF('Student Raw Data'!U11="","",IF(OR(TRIM('Student Raw Data'!U11)="Strongly disagree",TRIM('Student Raw Data'!U11)="Strongly Disagree"),1,IF(TRIM('Student Raw Data'!U11)="Disagree",2,IF(OR(TRIM('Student Raw Data'!U11)="Neutral",TRIM('Student Raw Data'!U11)="Neither Agree nor Disagree"),3,IF(TRIM('Student Raw Data'!U11)="Agree",4,IF(OR(TRIM('Student Raw Data'!U11)="Strongly agree",TRIM('Student Raw Data'!U11)="Strongly Agree"),5,""))))))</f>
        <v>5</v>
      </c>
      <c r="V11" s="3">
        <f>IF('Student Raw Data'!V11="","",IF(OR(TRIM('Student Raw Data'!V11)="Strongly disagree",TRIM('Student Raw Data'!V11)="Strongly Disagree"),1,IF(TRIM('Student Raw Data'!V11)="Disagree",2,IF(OR(TRIM('Student Raw Data'!V11)="Neutral",TRIM('Student Raw Data'!V11)="Neither Agree nor Disagree"),3,IF(TRIM('Student Raw Data'!V11)="Agree",4,IF(OR(TRIM('Student Raw Data'!V11)="Strongly agree",TRIM('Student Raw Data'!V11)="Strongly Agree"),5,""))))))</f>
        <v>5</v>
      </c>
      <c r="W11" s="3">
        <f>IF('Student Raw Data'!W11="","",IF(OR(TRIM('Student Raw Data'!W11)="Strongly disagree",TRIM('Student Raw Data'!W11)="Strongly Disagree"),1,IF(TRIM('Student Raw Data'!W11)="Disagree",2,IF(OR(TRIM('Student Raw Data'!W11)="Neutral",TRIM('Student Raw Data'!W11)="Neither Agree nor Disagree"),3,IF(TRIM('Student Raw Data'!W11)="Agree",4,IF(OR(TRIM('Student Raw Data'!W11)="Strongly agree",TRIM('Student Raw Data'!W11)="Strongly Agree"),5,""))))))</f>
        <v>4</v>
      </c>
      <c r="X11" s="3">
        <f>IF('Student Raw Data'!X11="","",IF(OR(TRIM('Student Raw Data'!X11)="Strongly disagree",TRIM('Student Raw Data'!X11)="Strongly Disagree"),1,IF(TRIM('Student Raw Data'!X11)="Disagree",2,IF(OR(TRIM('Student Raw Data'!X11)="Neutral",TRIM('Student Raw Data'!X11)="Neither Agree nor Disagree"),3,IF(TRIM('Student Raw Data'!X11)="Agree",4,IF(OR(TRIM('Student Raw Data'!X11)="Strongly agree",TRIM('Student Raw Data'!X11)="Strongly Agree"),5,""))))))</f>
        <v>4</v>
      </c>
      <c r="Y11" s="3">
        <f>IF('Student Raw Data'!Y11="","",IF(OR(TRIM('Student Raw Data'!Y11)="Strongly disagree",TRIM('Student Raw Data'!Y11)="Strongly Disagree"),1,IF(TRIM('Student Raw Data'!Y11)="Disagree",2,IF(OR(TRIM('Student Raw Data'!Y11)="Neutral",TRIM('Student Raw Data'!Y11)="Neither Agree nor Disagree"),3,IF(TRIM('Student Raw Data'!Y11)="Agree",4,IF(OR(TRIM('Student Raw Data'!Y11)="Strongly agree",TRIM('Student Raw Data'!Y11)="Strongly Agree"),5,""))))))</f>
        <v>4</v>
      </c>
      <c r="Z11" s="3">
        <f>IF('Student Raw Data'!Z11="","",IF(OR(TRIM('Student Raw Data'!Z11)="Strongly disagree",TRIM('Student Raw Data'!Z11)="Strongly Disagree"),1,IF(TRIM('Student Raw Data'!Z11)="Disagree",2,IF(OR(TRIM('Student Raw Data'!Z11)="Neutral",TRIM('Student Raw Data'!Z11)="Neither Agree nor Disagree"),3,IF(TRIM('Student Raw Data'!Z11)="Agree",4,IF(OR(TRIM('Student Raw Data'!Z11)="Strongly agree",TRIM('Student Raw Data'!Z11)="Strongly Agree"),5,""))))))</f>
        <v>3</v>
      </c>
      <c r="AA11" s="3">
        <f>'Student Raw Data'!AA11</f>
        <v>3</v>
      </c>
      <c r="AB11" s="3" t="str">
        <f>'Student Raw Data'!AB11</f>
        <v>Neutral</v>
      </c>
      <c r="AC11" s="3" t="str">
        <f>'Student Raw Data'!AC11</f>
        <v>Not Sure</v>
      </c>
      <c r="AD11" s="3" t="str">
        <f>'Student Raw Data'!AD11</f>
        <v>Space problem</v>
      </c>
      <c r="AE11" s="3" t="str">
        <f>'Student Raw Data'!AE11</f>
        <v xml:space="preserve">trademill not working properly </v>
      </c>
      <c r="AF11" s="3">
        <f>'Student Raw Data'!AF11</f>
        <v>0</v>
      </c>
    </row>
    <row r="12" spans="1:32" ht="16" x14ac:dyDescent="0.2">
      <c r="A12" s="2">
        <f>'Student Raw Data'!A12</f>
        <v>46278.561929456002</v>
      </c>
      <c r="B12" s="3" t="str">
        <f>'Student Raw Data'!B12</f>
        <v>Yes</v>
      </c>
      <c r="C12" s="3" t="str">
        <f>'Student Raw Data'!C12</f>
        <v>PGDM</v>
      </c>
      <c r="D12" s="3" t="str">
        <f>'Student Raw Data'!D12</f>
        <v>Once a week</v>
      </c>
      <c r="E12" s="3" t="str">
        <f>'Student Raw Data'!E12</f>
        <v>6–12 months</v>
      </c>
      <c r="F12" s="3" t="str">
        <f>'Student Raw Data'!F12</f>
        <v>No specific preference</v>
      </c>
      <c r="G12" s="3">
        <f>IF('Student Raw Data'!G12="","",IF(OR(TRIM('Student Raw Data'!G12)="Strongly disagree",TRIM('Student Raw Data'!G12)="Strongly Disagree"),1,IF(TRIM('Student Raw Data'!G12)="Disagree",2,IF(OR(TRIM('Student Raw Data'!G12)="Neutral",TRIM('Student Raw Data'!G12)="Neither Agree nor Disagree"),3,IF(TRIM('Student Raw Data'!G12)="Agree",4,IF(OR(TRIM('Student Raw Data'!G12)="Strongly agree",TRIM('Student Raw Data'!G12)="Strongly Agree"),5,""))))))</f>
        <v>3</v>
      </c>
      <c r="H12" s="3">
        <f>IF('Student Raw Data'!H12="","",IF(OR(TRIM('Student Raw Data'!H12)="Strongly disagree",TRIM('Student Raw Data'!H12)="Strongly Disagree"),1,IF(TRIM('Student Raw Data'!H12)="Disagree",2,IF(OR(TRIM('Student Raw Data'!H12)="Neutral",TRIM('Student Raw Data'!H12)="Neither Agree nor Disagree"),3,IF(TRIM('Student Raw Data'!H12)="Agree",4,IF(OR(TRIM('Student Raw Data'!H12)="Strongly agree",TRIM('Student Raw Data'!H12)="Strongly Agree"),5,""))))))</f>
        <v>1</v>
      </c>
      <c r="I12" s="3">
        <f>IF('Student Raw Data'!I12="","",IF(OR(TRIM('Student Raw Data'!I12)="Strongly disagree",TRIM('Student Raw Data'!I12)="Strongly Disagree"),1,IF(TRIM('Student Raw Data'!I12)="Disagree",2,IF(OR(TRIM('Student Raw Data'!I12)="Neutral",TRIM('Student Raw Data'!I12)="Neither Agree nor Disagree"),3,IF(TRIM('Student Raw Data'!I12)="Agree",4,IF(OR(TRIM('Student Raw Data'!I12)="Strongly agree",TRIM('Student Raw Data'!I12)="Strongly Agree"),5,""))))))</f>
        <v>3</v>
      </c>
      <c r="J12" s="3">
        <f>IF('Student Raw Data'!J12="","",IF(OR(TRIM('Student Raw Data'!J12)="Strongly disagree",TRIM('Student Raw Data'!J12)="Strongly Disagree"),1,IF(TRIM('Student Raw Data'!J12)="Disagree",2,IF(OR(TRIM('Student Raw Data'!J12)="Neutral",TRIM('Student Raw Data'!J12)="Neither Agree nor Disagree"),3,IF(TRIM('Student Raw Data'!J12)="Agree",4,IF(OR(TRIM('Student Raw Data'!J12)="Strongly agree",TRIM('Student Raw Data'!J12)="Strongly Agree"),5,""))))))</f>
        <v>2</v>
      </c>
      <c r="K12" s="3">
        <f>IF('Student Raw Data'!K12="","",IF(OR(TRIM('Student Raw Data'!K12)="Strongly disagree",TRIM('Student Raw Data'!K12)="Strongly Disagree"),1,IF(TRIM('Student Raw Data'!K12)="Disagree",2,IF(OR(TRIM('Student Raw Data'!K12)="Neutral",TRIM('Student Raw Data'!K12)="Neither Agree nor Disagree"),3,IF(TRIM('Student Raw Data'!K12)="Agree",4,IF(OR(TRIM('Student Raw Data'!K12)="Strongly agree",TRIM('Student Raw Data'!K12)="Strongly Agree"),5,""))))))</f>
        <v>1</v>
      </c>
      <c r="L12" s="3">
        <f>IF('Student Raw Data'!L12="","",IF(OR(TRIM('Student Raw Data'!L12)="Strongly disagree",TRIM('Student Raw Data'!L12)="Strongly Disagree"),1,IF(TRIM('Student Raw Data'!L12)="Disagree",2,IF(OR(TRIM('Student Raw Data'!L12)="Neutral",TRIM('Student Raw Data'!L12)="Neither Agree nor Disagree"),3,IF(TRIM('Student Raw Data'!L12)="Agree",4,IF(OR(TRIM('Student Raw Data'!L12)="Strongly agree",TRIM('Student Raw Data'!L12)="Strongly Agree"),5,""))))))</f>
        <v>4</v>
      </c>
      <c r="M12" s="3">
        <f>IF('Student Raw Data'!M12="","",IF(OR(TRIM('Student Raw Data'!M12)="Strongly disagree",TRIM('Student Raw Data'!M12)="Strongly Disagree"),1,IF(TRIM('Student Raw Data'!M12)="Disagree",2,IF(OR(TRIM('Student Raw Data'!M12)="Neutral",TRIM('Student Raw Data'!M12)="Neither Agree nor Disagree"),3,IF(TRIM('Student Raw Data'!M12)="Agree",4,IF(OR(TRIM('Student Raw Data'!M12)="Strongly agree",TRIM('Student Raw Data'!M12)="Strongly Agree"),5,""))))))</f>
        <v>3</v>
      </c>
      <c r="N12" s="3">
        <f>IF('Student Raw Data'!N12="","",IF(OR(TRIM('Student Raw Data'!N12)="Strongly disagree",TRIM('Student Raw Data'!N12)="Strongly Disagree"),1,IF(TRIM('Student Raw Data'!N12)="Disagree",2,IF(OR(TRIM('Student Raw Data'!N12)="Neutral",TRIM('Student Raw Data'!N12)="Neither Agree nor Disagree"),3,IF(TRIM('Student Raw Data'!N12)="Agree",4,IF(OR(TRIM('Student Raw Data'!N12)="Strongly agree",TRIM('Student Raw Data'!N12)="Strongly Agree"),5,""))))))</f>
        <v>2</v>
      </c>
      <c r="O12" s="3">
        <f>IF('Student Raw Data'!O12="","",IF(OR(TRIM('Student Raw Data'!O12)="Strongly disagree",TRIM('Student Raw Data'!O12)="Strongly Disagree"),1,IF(TRIM('Student Raw Data'!O12)="Disagree",2,IF(OR(TRIM('Student Raw Data'!O12)="Neutral",TRIM('Student Raw Data'!O12)="Neither Agree nor Disagree"),3,IF(TRIM('Student Raw Data'!O12)="Agree",4,IF(OR(TRIM('Student Raw Data'!O12)="Strongly agree",TRIM('Student Raw Data'!O12)="Strongly Agree"),5,""))))))</f>
        <v>4</v>
      </c>
      <c r="P12" s="3">
        <f>IF('Student Raw Data'!P12="","",IF(OR(TRIM('Student Raw Data'!P12)="Strongly disagree",TRIM('Student Raw Data'!P12)="Strongly Disagree"),1,IF(TRIM('Student Raw Data'!P12)="Disagree",2,IF(OR(TRIM('Student Raw Data'!P12)="Neutral",TRIM('Student Raw Data'!P12)="Neither Agree nor Disagree"),3,IF(TRIM('Student Raw Data'!P12)="Agree",4,IF(OR(TRIM('Student Raw Data'!P12)="Strongly agree",TRIM('Student Raw Data'!P12)="Strongly Agree"),5,""))))))</f>
        <v>3</v>
      </c>
      <c r="Q12" s="3">
        <f>IF('Student Raw Data'!Q12="","",IF(OR(TRIM('Student Raw Data'!Q12)="Strongly disagree",TRIM('Student Raw Data'!Q12)="Strongly Disagree"),1,IF(TRIM('Student Raw Data'!Q12)="Disagree",2,IF(OR(TRIM('Student Raw Data'!Q12)="Neutral",TRIM('Student Raw Data'!Q12)="Neither Agree nor Disagree"),3,IF(TRIM('Student Raw Data'!Q12)="Agree",4,IF(OR(TRIM('Student Raw Data'!Q12)="Strongly agree",TRIM('Student Raw Data'!Q12)="Strongly Agree"),5,""))))))</f>
        <v>3</v>
      </c>
      <c r="R12" s="3">
        <f>IF('Student Raw Data'!R12="","",IF(OR(TRIM('Student Raw Data'!R12)="Strongly disagree",TRIM('Student Raw Data'!R12)="Strongly Disagree"),1,IF(TRIM('Student Raw Data'!R12)="Disagree",2,IF(OR(TRIM('Student Raw Data'!R12)="Neutral",TRIM('Student Raw Data'!R12)="Neither Agree nor Disagree"),3,IF(TRIM('Student Raw Data'!R12)="Agree",4,IF(OR(TRIM('Student Raw Data'!R12)="Strongly agree",TRIM('Student Raw Data'!R12)="Strongly Agree"),5,""))))))</f>
        <v>4</v>
      </c>
      <c r="S12" s="3">
        <f>IF('Student Raw Data'!S12="","",IF(OR(TRIM('Student Raw Data'!S12)="Strongly disagree",TRIM('Student Raw Data'!S12)="Strongly Disagree"),1,IF(TRIM('Student Raw Data'!S12)="Disagree",2,IF(OR(TRIM('Student Raw Data'!S12)="Neutral",TRIM('Student Raw Data'!S12)="Neither Agree nor Disagree"),3,IF(TRIM('Student Raw Data'!S12)="Agree",4,IF(OR(TRIM('Student Raw Data'!S12)="Strongly agree",TRIM('Student Raw Data'!S12)="Strongly Agree"),5,""))))))</f>
        <v>3</v>
      </c>
      <c r="T12" s="3">
        <f>IF('Student Raw Data'!T12="","",IF(OR(TRIM('Student Raw Data'!T12)="Strongly disagree",TRIM('Student Raw Data'!T12)="Strongly Disagree"),1,IF(TRIM('Student Raw Data'!T12)="Disagree",2,IF(OR(TRIM('Student Raw Data'!T12)="Neutral",TRIM('Student Raw Data'!T12)="Neither Agree nor Disagree"),3,IF(TRIM('Student Raw Data'!T12)="Agree",4,IF(OR(TRIM('Student Raw Data'!T12)="Strongly agree",TRIM('Student Raw Data'!T12)="Strongly Agree"),5,""))))))</f>
        <v>3</v>
      </c>
      <c r="U12" s="3">
        <f>IF('Student Raw Data'!U12="","",IF(OR(TRIM('Student Raw Data'!U12)="Strongly disagree",TRIM('Student Raw Data'!U12)="Strongly Disagree"),1,IF(TRIM('Student Raw Data'!U12)="Disagree",2,IF(OR(TRIM('Student Raw Data'!U12)="Neutral",TRIM('Student Raw Data'!U12)="Neither Agree nor Disagree"),3,IF(TRIM('Student Raw Data'!U12)="Agree",4,IF(OR(TRIM('Student Raw Data'!U12)="Strongly agree",TRIM('Student Raw Data'!U12)="Strongly Agree"),5,""))))))</f>
        <v>3</v>
      </c>
      <c r="V12" s="3">
        <f>IF('Student Raw Data'!V12="","",IF(OR(TRIM('Student Raw Data'!V12)="Strongly disagree",TRIM('Student Raw Data'!V12)="Strongly Disagree"),1,IF(TRIM('Student Raw Data'!V12)="Disagree",2,IF(OR(TRIM('Student Raw Data'!V12)="Neutral",TRIM('Student Raw Data'!V12)="Neither Agree nor Disagree"),3,IF(TRIM('Student Raw Data'!V12)="Agree",4,IF(OR(TRIM('Student Raw Data'!V12)="Strongly agree",TRIM('Student Raw Data'!V12)="Strongly Agree"),5,""))))))</f>
        <v>2</v>
      </c>
      <c r="W12" s="3">
        <f>IF('Student Raw Data'!W12="","",IF(OR(TRIM('Student Raw Data'!W12)="Strongly disagree",TRIM('Student Raw Data'!W12)="Strongly Disagree"),1,IF(TRIM('Student Raw Data'!W12)="Disagree",2,IF(OR(TRIM('Student Raw Data'!W12)="Neutral",TRIM('Student Raw Data'!W12)="Neither Agree nor Disagree"),3,IF(TRIM('Student Raw Data'!W12)="Agree",4,IF(OR(TRIM('Student Raw Data'!W12)="Strongly agree",TRIM('Student Raw Data'!W12)="Strongly Agree"),5,""))))))</f>
        <v>3</v>
      </c>
      <c r="X12" s="3">
        <f>IF('Student Raw Data'!X12="","",IF(OR(TRIM('Student Raw Data'!X12)="Strongly disagree",TRIM('Student Raw Data'!X12)="Strongly Disagree"),1,IF(TRIM('Student Raw Data'!X12)="Disagree",2,IF(OR(TRIM('Student Raw Data'!X12)="Neutral",TRIM('Student Raw Data'!X12)="Neither Agree nor Disagree"),3,IF(TRIM('Student Raw Data'!X12)="Agree",4,IF(OR(TRIM('Student Raw Data'!X12)="Strongly agree",TRIM('Student Raw Data'!X12)="Strongly Agree"),5,""))))))</f>
        <v>3</v>
      </c>
      <c r="Y12" s="3">
        <f>IF('Student Raw Data'!Y12="","",IF(OR(TRIM('Student Raw Data'!Y12)="Strongly disagree",TRIM('Student Raw Data'!Y12)="Strongly Disagree"),1,IF(TRIM('Student Raw Data'!Y12)="Disagree",2,IF(OR(TRIM('Student Raw Data'!Y12)="Neutral",TRIM('Student Raw Data'!Y12)="Neither Agree nor Disagree"),3,IF(TRIM('Student Raw Data'!Y12)="Agree",4,IF(OR(TRIM('Student Raw Data'!Y12)="Strongly agree",TRIM('Student Raw Data'!Y12)="Strongly Agree"),5,""))))))</f>
        <v>2</v>
      </c>
      <c r="Z12" s="3">
        <f>IF('Student Raw Data'!Z12="","",IF(OR(TRIM('Student Raw Data'!Z12)="Strongly disagree",TRIM('Student Raw Data'!Z12)="Strongly Disagree"),1,IF(TRIM('Student Raw Data'!Z12)="Disagree",2,IF(OR(TRIM('Student Raw Data'!Z12)="Neutral",TRIM('Student Raw Data'!Z12)="Neither Agree nor Disagree"),3,IF(TRIM('Student Raw Data'!Z12)="Agree",4,IF(OR(TRIM('Student Raw Data'!Z12)="Strongly agree",TRIM('Student Raw Data'!Z12)="Strongly Agree"),5,""))))))</f>
        <v>3</v>
      </c>
      <c r="AA12" s="3">
        <f>'Student Raw Data'!AA12</f>
        <v>1</v>
      </c>
      <c r="AB12" s="3" t="str">
        <f>'Student Raw Data'!AB12</f>
        <v>Strongly Disagree</v>
      </c>
      <c r="AC12" s="3" t="str">
        <f>'Student Raw Data'!AC12</f>
        <v>Definitely No</v>
      </c>
      <c r="AD12" s="3">
        <f>'Student Raw Data'!AD12</f>
        <v>0</v>
      </c>
      <c r="AE12" s="3">
        <f>'Student Raw Data'!AE12</f>
        <v>0</v>
      </c>
      <c r="AF12" s="3">
        <f>'Student Raw Data'!AF12</f>
        <v>0</v>
      </c>
    </row>
    <row r="13" spans="1:32" ht="16" x14ac:dyDescent="0.2">
      <c r="A13" s="2">
        <f>'Student Raw Data'!A13</f>
        <v>46278.580336712999</v>
      </c>
      <c r="B13" s="3" t="str">
        <f>'Student Raw Data'!B13</f>
        <v>Yes</v>
      </c>
      <c r="C13" s="3" t="str">
        <f>'Student Raw Data'!C13</f>
        <v>PGDM</v>
      </c>
      <c r="D13" s="3" t="str">
        <f>'Student Raw Data'!D13</f>
        <v>2-3 times a week</v>
      </c>
      <c r="E13" s="3" t="str">
        <f>'Student Raw Data'!E13</f>
        <v>1–3 months</v>
      </c>
      <c r="F13" s="3" t="str">
        <f>'Student Raw Data'!F13</f>
        <v>Morning</v>
      </c>
      <c r="G13" s="3">
        <f>IF('Student Raw Data'!G13="","",IF(OR(TRIM('Student Raw Data'!G13)="Strongly disagree",TRIM('Student Raw Data'!G13)="Strongly Disagree"),1,IF(TRIM('Student Raw Data'!G13)="Disagree",2,IF(OR(TRIM('Student Raw Data'!G13)="Neutral",TRIM('Student Raw Data'!G13)="Neither Agree nor Disagree"),3,IF(TRIM('Student Raw Data'!G13)="Agree",4,IF(OR(TRIM('Student Raw Data'!G13)="Strongly agree",TRIM('Student Raw Data'!G13)="Strongly Agree"),5,""))))))</f>
        <v>3</v>
      </c>
      <c r="H13" s="3">
        <f>IF('Student Raw Data'!H13="","",IF(OR(TRIM('Student Raw Data'!H13)="Strongly disagree",TRIM('Student Raw Data'!H13)="Strongly Disagree"),1,IF(TRIM('Student Raw Data'!H13)="Disagree",2,IF(OR(TRIM('Student Raw Data'!H13)="Neutral",TRIM('Student Raw Data'!H13)="Neither Agree nor Disagree"),3,IF(TRIM('Student Raw Data'!H13)="Agree",4,IF(OR(TRIM('Student Raw Data'!H13)="Strongly agree",TRIM('Student Raw Data'!H13)="Strongly Agree"),5,""))))))</f>
        <v>3</v>
      </c>
      <c r="I13" s="3">
        <f>IF('Student Raw Data'!I13="","",IF(OR(TRIM('Student Raw Data'!I13)="Strongly disagree",TRIM('Student Raw Data'!I13)="Strongly Disagree"),1,IF(TRIM('Student Raw Data'!I13)="Disagree",2,IF(OR(TRIM('Student Raw Data'!I13)="Neutral",TRIM('Student Raw Data'!I13)="Neither Agree nor Disagree"),3,IF(TRIM('Student Raw Data'!I13)="Agree",4,IF(OR(TRIM('Student Raw Data'!I13)="Strongly agree",TRIM('Student Raw Data'!I13)="Strongly Agree"),5,""))))))</f>
        <v>3</v>
      </c>
      <c r="J13" s="3">
        <f>IF('Student Raw Data'!J13="","",IF(OR(TRIM('Student Raw Data'!J13)="Strongly disagree",TRIM('Student Raw Data'!J13)="Strongly Disagree"),1,IF(TRIM('Student Raw Data'!J13)="Disagree",2,IF(OR(TRIM('Student Raw Data'!J13)="Neutral",TRIM('Student Raw Data'!J13)="Neither Agree nor Disagree"),3,IF(TRIM('Student Raw Data'!J13)="Agree",4,IF(OR(TRIM('Student Raw Data'!J13)="Strongly agree",TRIM('Student Raw Data'!J13)="Strongly Agree"),5,""))))))</f>
        <v>3</v>
      </c>
      <c r="K13" s="3">
        <f>IF('Student Raw Data'!K13="","",IF(OR(TRIM('Student Raw Data'!K13)="Strongly disagree",TRIM('Student Raw Data'!K13)="Strongly Disagree"),1,IF(TRIM('Student Raw Data'!K13)="Disagree",2,IF(OR(TRIM('Student Raw Data'!K13)="Neutral",TRIM('Student Raw Data'!K13)="Neither Agree nor Disagree"),3,IF(TRIM('Student Raw Data'!K13)="Agree",4,IF(OR(TRIM('Student Raw Data'!K13)="Strongly agree",TRIM('Student Raw Data'!K13)="Strongly Agree"),5,""))))))</f>
        <v>3</v>
      </c>
      <c r="L13" s="3">
        <f>IF('Student Raw Data'!L13="","",IF(OR(TRIM('Student Raw Data'!L13)="Strongly disagree",TRIM('Student Raw Data'!L13)="Strongly Disagree"),1,IF(TRIM('Student Raw Data'!L13)="Disagree",2,IF(OR(TRIM('Student Raw Data'!L13)="Neutral",TRIM('Student Raw Data'!L13)="Neither Agree nor Disagree"),3,IF(TRIM('Student Raw Data'!L13)="Agree",4,IF(OR(TRIM('Student Raw Data'!L13)="Strongly agree",TRIM('Student Raw Data'!L13)="Strongly Agree"),5,""))))))</f>
        <v>3</v>
      </c>
      <c r="M13" s="3">
        <f>IF('Student Raw Data'!M13="","",IF(OR(TRIM('Student Raw Data'!M13)="Strongly disagree",TRIM('Student Raw Data'!M13)="Strongly Disagree"),1,IF(TRIM('Student Raw Data'!M13)="Disagree",2,IF(OR(TRIM('Student Raw Data'!M13)="Neutral",TRIM('Student Raw Data'!M13)="Neither Agree nor Disagree"),3,IF(TRIM('Student Raw Data'!M13)="Agree",4,IF(OR(TRIM('Student Raw Data'!M13)="Strongly agree",TRIM('Student Raw Data'!M13)="Strongly Agree"),5,""))))))</f>
        <v>3</v>
      </c>
      <c r="N13" s="3">
        <f>IF('Student Raw Data'!N13="","",IF(OR(TRIM('Student Raw Data'!N13)="Strongly disagree",TRIM('Student Raw Data'!N13)="Strongly Disagree"),1,IF(TRIM('Student Raw Data'!N13)="Disagree",2,IF(OR(TRIM('Student Raw Data'!N13)="Neutral",TRIM('Student Raw Data'!N13)="Neither Agree nor Disagree"),3,IF(TRIM('Student Raw Data'!N13)="Agree",4,IF(OR(TRIM('Student Raw Data'!N13)="Strongly agree",TRIM('Student Raw Data'!N13)="Strongly Agree"),5,""))))))</f>
        <v>3</v>
      </c>
      <c r="O13" s="3">
        <f>IF('Student Raw Data'!O13="","",IF(OR(TRIM('Student Raw Data'!O13)="Strongly disagree",TRIM('Student Raw Data'!O13)="Strongly Disagree"),1,IF(TRIM('Student Raw Data'!O13)="Disagree",2,IF(OR(TRIM('Student Raw Data'!O13)="Neutral",TRIM('Student Raw Data'!O13)="Neither Agree nor Disagree"),3,IF(TRIM('Student Raw Data'!O13)="Agree",4,IF(OR(TRIM('Student Raw Data'!O13)="Strongly agree",TRIM('Student Raw Data'!O13)="Strongly Agree"),5,""))))))</f>
        <v>3</v>
      </c>
      <c r="P13" s="3">
        <f>IF('Student Raw Data'!P13="","",IF(OR(TRIM('Student Raw Data'!P13)="Strongly disagree",TRIM('Student Raw Data'!P13)="Strongly Disagree"),1,IF(TRIM('Student Raw Data'!P13)="Disagree",2,IF(OR(TRIM('Student Raw Data'!P13)="Neutral",TRIM('Student Raw Data'!P13)="Neither Agree nor Disagree"),3,IF(TRIM('Student Raw Data'!P13)="Agree",4,IF(OR(TRIM('Student Raw Data'!P13)="Strongly agree",TRIM('Student Raw Data'!P13)="Strongly Agree"),5,""))))))</f>
        <v>3</v>
      </c>
      <c r="Q13" s="3">
        <f>IF('Student Raw Data'!Q13="","",IF(OR(TRIM('Student Raw Data'!Q13)="Strongly disagree",TRIM('Student Raw Data'!Q13)="Strongly Disagree"),1,IF(TRIM('Student Raw Data'!Q13)="Disagree",2,IF(OR(TRIM('Student Raw Data'!Q13)="Neutral",TRIM('Student Raw Data'!Q13)="Neither Agree nor Disagree"),3,IF(TRIM('Student Raw Data'!Q13)="Agree",4,IF(OR(TRIM('Student Raw Data'!Q13)="Strongly agree",TRIM('Student Raw Data'!Q13)="Strongly Agree"),5,""))))))</f>
        <v>3</v>
      </c>
      <c r="R13" s="3">
        <f>IF('Student Raw Data'!R13="","",IF(OR(TRIM('Student Raw Data'!R13)="Strongly disagree",TRIM('Student Raw Data'!R13)="Strongly Disagree"),1,IF(TRIM('Student Raw Data'!R13)="Disagree",2,IF(OR(TRIM('Student Raw Data'!R13)="Neutral",TRIM('Student Raw Data'!R13)="Neither Agree nor Disagree"),3,IF(TRIM('Student Raw Data'!R13)="Agree",4,IF(OR(TRIM('Student Raw Data'!R13)="Strongly agree",TRIM('Student Raw Data'!R13)="Strongly Agree"),5,""))))))</f>
        <v>3</v>
      </c>
      <c r="S13" s="3">
        <f>IF('Student Raw Data'!S13="","",IF(OR(TRIM('Student Raw Data'!S13)="Strongly disagree",TRIM('Student Raw Data'!S13)="Strongly Disagree"),1,IF(TRIM('Student Raw Data'!S13)="Disagree",2,IF(OR(TRIM('Student Raw Data'!S13)="Neutral",TRIM('Student Raw Data'!S13)="Neither Agree nor Disagree"),3,IF(TRIM('Student Raw Data'!S13)="Agree",4,IF(OR(TRIM('Student Raw Data'!S13)="Strongly agree",TRIM('Student Raw Data'!S13)="Strongly Agree"),5,""))))))</f>
        <v>3</v>
      </c>
      <c r="T13" s="3">
        <f>IF('Student Raw Data'!T13="","",IF(OR(TRIM('Student Raw Data'!T13)="Strongly disagree",TRIM('Student Raw Data'!T13)="Strongly Disagree"),1,IF(TRIM('Student Raw Data'!T13)="Disagree",2,IF(OR(TRIM('Student Raw Data'!T13)="Neutral",TRIM('Student Raw Data'!T13)="Neither Agree nor Disagree"),3,IF(TRIM('Student Raw Data'!T13)="Agree",4,IF(OR(TRIM('Student Raw Data'!T13)="Strongly agree",TRIM('Student Raw Data'!T13)="Strongly Agree"),5,""))))))</f>
        <v>3</v>
      </c>
      <c r="U13" s="3">
        <f>IF('Student Raw Data'!U13="","",IF(OR(TRIM('Student Raw Data'!U13)="Strongly disagree",TRIM('Student Raw Data'!U13)="Strongly Disagree"),1,IF(TRIM('Student Raw Data'!U13)="Disagree",2,IF(OR(TRIM('Student Raw Data'!U13)="Neutral",TRIM('Student Raw Data'!U13)="Neither Agree nor Disagree"),3,IF(TRIM('Student Raw Data'!U13)="Agree",4,IF(OR(TRIM('Student Raw Data'!U13)="Strongly agree",TRIM('Student Raw Data'!U13)="Strongly Agree"),5,""))))))</f>
        <v>3</v>
      </c>
      <c r="V13" s="3">
        <f>IF('Student Raw Data'!V13="","",IF(OR(TRIM('Student Raw Data'!V13)="Strongly disagree",TRIM('Student Raw Data'!V13)="Strongly Disagree"),1,IF(TRIM('Student Raw Data'!V13)="Disagree",2,IF(OR(TRIM('Student Raw Data'!V13)="Neutral",TRIM('Student Raw Data'!V13)="Neither Agree nor Disagree"),3,IF(TRIM('Student Raw Data'!V13)="Agree",4,IF(OR(TRIM('Student Raw Data'!V13)="Strongly agree",TRIM('Student Raw Data'!V13)="Strongly Agree"),5,""))))))</f>
        <v>3</v>
      </c>
      <c r="W13" s="3">
        <f>IF('Student Raw Data'!W13="","",IF(OR(TRIM('Student Raw Data'!W13)="Strongly disagree",TRIM('Student Raw Data'!W13)="Strongly Disagree"),1,IF(TRIM('Student Raw Data'!W13)="Disagree",2,IF(OR(TRIM('Student Raw Data'!W13)="Neutral",TRIM('Student Raw Data'!W13)="Neither Agree nor Disagree"),3,IF(TRIM('Student Raw Data'!W13)="Agree",4,IF(OR(TRIM('Student Raw Data'!W13)="Strongly agree",TRIM('Student Raw Data'!W13)="Strongly Agree"),5,""))))))</f>
        <v>3</v>
      </c>
      <c r="X13" s="3">
        <f>IF('Student Raw Data'!X13="","",IF(OR(TRIM('Student Raw Data'!X13)="Strongly disagree",TRIM('Student Raw Data'!X13)="Strongly Disagree"),1,IF(TRIM('Student Raw Data'!X13)="Disagree",2,IF(OR(TRIM('Student Raw Data'!X13)="Neutral",TRIM('Student Raw Data'!X13)="Neither Agree nor Disagree"),3,IF(TRIM('Student Raw Data'!X13)="Agree",4,IF(OR(TRIM('Student Raw Data'!X13)="Strongly agree",TRIM('Student Raw Data'!X13)="Strongly Agree"),5,""))))))</f>
        <v>3</v>
      </c>
      <c r="Y13" s="3">
        <f>IF('Student Raw Data'!Y13="","",IF(OR(TRIM('Student Raw Data'!Y13)="Strongly disagree",TRIM('Student Raw Data'!Y13)="Strongly Disagree"),1,IF(TRIM('Student Raw Data'!Y13)="Disagree",2,IF(OR(TRIM('Student Raw Data'!Y13)="Neutral",TRIM('Student Raw Data'!Y13)="Neither Agree nor Disagree"),3,IF(TRIM('Student Raw Data'!Y13)="Agree",4,IF(OR(TRIM('Student Raw Data'!Y13)="Strongly agree",TRIM('Student Raw Data'!Y13)="Strongly Agree"),5,""))))))</f>
        <v>3</v>
      </c>
      <c r="Z13" s="3">
        <f>IF('Student Raw Data'!Z13="","",IF(OR(TRIM('Student Raw Data'!Z13)="Strongly disagree",TRIM('Student Raw Data'!Z13)="Strongly Disagree"),1,IF(TRIM('Student Raw Data'!Z13)="Disagree",2,IF(OR(TRIM('Student Raw Data'!Z13)="Neutral",TRIM('Student Raw Data'!Z13)="Neither Agree nor Disagree"),3,IF(TRIM('Student Raw Data'!Z13)="Agree",4,IF(OR(TRIM('Student Raw Data'!Z13)="Strongly agree",TRIM('Student Raw Data'!Z13)="Strongly Agree"),5,""))))))</f>
        <v>3</v>
      </c>
      <c r="AA13" s="3">
        <f>'Student Raw Data'!AA13</f>
        <v>3</v>
      </c>
      <c r="AB13" s="3" t="str">
        <f>'Student Raw Data'!AB13</f>
        <v>Neutral</v>
      </c>
      <c r="AC13" s="3" t="str">
        <f>'Student Raw Data'!AC13</f>
        <v>Definitely Yes</v>
      </c>
      <c r="AD13" s="3">
        <f>'Student Raw Data'!AD13</f>
        <v>0</v>
      </c>
      <c r="AE13" s="3">
        <f>'Student Raw Data'!AE13</f>
        <v>0</v>
      </c>
      <c r="AF13" s="3">
        <f>'Student Raw Data'!AF13</f>
        <v>0</v>
      </c>
    </row>
    <row r="14" spans="1:32" ht="16" x14ac:dyDescent="0.2">
      <c r="A14" s="2">
        <f>'Student Raw Data'!A14</f>
        <v>46278.585810844903</v>
      </c>
      <c r="B14" s="3" t="str">
        <f>'Student Raw Data'!B14</f>
        <v>Yes</v>
      </c>
      <c r="C14" s="3" t="str">
        <f>'Student Raw Data'!C14</f>
        <v>PGDM</v>
      </c>
      <c r="D14" s="3" t="str">
        <f>'Student Raw Data'!D14</f>
        <v>Once a week</v>
      </c>
      <c r="E14" s="3" t="str">
        <f>'Student Raw Data'!E14</f>
        <v>More than 1 year</v>
      </c>
      <c r="F14" s="3" t="str">
        <f>'Student Raw Data'!F14</f>
        <v>No specific preference</v>
      </c>
      <c r="G14" s="3">
        <f>IF('Student Raw Data'!G14="","",IF(OR(TRIM('Student Raw Data'!G14)="Strongly disagree",TRIM('Student Raw Data'!G14)="Strongly Disagree"),1,IF(TRIM('Student Raw Data'!G14)="Disagree",2,IF(OR(TRIM('Student Raw Data'!G14)="Neutral",TRIM('Student Raw Data'!G14)="Neither Agree nor Disagree"),3,IF(TRIM('Student Raw Data'!G14)="Agree",4,IF(OR(TRIM('Student Raw Data'!G14)="Strongly agree",TRIM('Student Raw Data'!G14)="Strongly Agree"),5,""))))))</f>
        <v>5</v>
      </c>
      <c r="H14" s="3">
        <f>IF('Student Raw Data'!H14="","",IF(OR(TRIM('Student Raw Data'!H14)="Strongly disagree",TRIM('Student Raw Data'!H14)="Strongly Disagree"),1,IF(TRIM('Student Raw Data'!H14)="Disagree",2,IF(OR(TRIM('Student Raw Data'!H14)="Neutral",TRIM('Student Raw Data'!H14)="Neither Agree nor Disagree"),3,IF(TRIM('Student Raw Data'!H14)="Agree",4,IF(OR(TRIM('Student Raw Data'!H14)="Strongly agree",TRIM('Student Raw Data'!H14)="Strongly Agree"),5,""))))))</f>
        <v>5</v>
      </c>
      <c r="I14" s="3">
        <f>IF('Student Raw Data'!I14="","",IF(OR(TRIM('Student Raw Data'!I14)="Strongly disagree",TRIM('Student Raw Data'!I14)="Strongly Disagree"),1,IF(TRIM('Student Raw Data'!I14)="Disagree",2,IF(OR(TRIM('Student Raw Data'!I14)="Neutral",TRIM('Student Raw Data'!I14)="Neither Agree nor Disagree"),3,IF(TRIM('Student Raw Data'!I14)="Agree",4,IF(OR(TRIM('Student Raw Data'!I14)="Strongly agree",TRIM('Student Raw Data'!I14)="Strongly Agree"),5,""))))))</f>
        <v>5</v>
      </c>
      <c r="J14" s="3">
        <f>IF('Student Raw Data'!J14="","",IF(OR(TRIM('Student Raw Data'!J14)="Strongly disagree",TRIM('Student Raw Data'!J14)="Strongly Disagree"),1,IF(TRIM('Student Raw Data'!J14)="Disagree",2,IF(OR(TRIM('Student Raw Data'!J14)="Neutral",TRIM('Student Raw Data'!J14)="Neither Agree nor Disagree"),3,IF(TRIM('Student Raw Data'!J14)="Agree",4,IF(OR(TRIM('Student Raw Data'!J14)="Strongly agree",TRIM('Student Raw Data'!J14)="Strongly Agree"),5,""))))))</f>
        <v>5</v>
      </c>
      <c r="K14" s="3">
        <f>IF('Student Raw Data'!K14="","",IF(OR(TRIM('Student Raw Data'!K14)="Strongly disagree",TRIM('Student Raw Data'!K14)="Strongly Disagree"),1,IF(TRIM('Student Raw Data'!K14)="Disagree",2,IF(OR(TRIM('Student Raw Data'!K14)="Neutral",TRIM('Student Raw Data'!K14)="Neither Agree nor Disagree"),3,IF(TRIM('Student Raw Data'!K14)="Agree",4,IF(OR(TRIM('Student Raw Data'!K14)="Strongly agree",TRIM('Student Raw Data'!K14)="Strongly Agree"),5,""))))))</f>
        <v>5</v>
      </c>
      <c r="L14" s="3">
        <f>IF('Student Raw Data'!L14="","",IF(OR(TRIM('Student Raw Data'!L14)="Strongly disagree",TRIM('Student Raw Data'!L14)="Strongly Disagree"),1,IF(TRIM('Student Raw Data'!L14)="Disagree",2,IF(OR(TRIM('Student Raw Data'!L14)="Neutral",TRIM('Student Raw Data'!L14)="Neither Agree nor Disagree"),3,IF(TRIM('Student Raw Data'!L14)="Agree",4,IF(OR(TRIM('Student Raw Data'!L14)="Strongly agree",TRIM('Student Raw Data'!L14)="Strongly Agree"),5,""))))))</f>
        <v>5</v>
      </c>
      <c r="M14" s="3">
        <f>IF('Student Raw Data'!M14="","",IF(OR(TRIM('Student Raw Data'!M14)="Strongly disagree",TRIM('Student Raw Data'!M14)="Strongly Disagree"),1,IF(TRIM('Student Raw Data'!M14)="Disagree",2,IF(OR(TRIM('Student Raw Data'!M14)="Neutral",TRIM('Student Raw Data'!M14)="Neither Agree nor Disagree"),3,IF(TRIM('Student Raw Data'!M14)="Agree",4,IF(OR(TRIM('Student Raw Data'!M14)="Strongly agree",TRIM('Student Raw Data'!M14)="Strongly Agree"),5,""))))))</f>
        <v>5</v>
      </c>
      <c r="N14" s="3">
        <f>IF('Student Raw Data'!N14="","",IF(OR(TRIM('Student Raw Data'!N14)="Strongly disagree",TRIM('Student Raw Data'!N14)="Strongly Disagree"),1,IF(TRIM('Student Raw Data'!N14)="Disagree",2,IF(OR(TRIM('Student Raw Data'!N14)="Neutral",TRIM('Student Raw Data'!N14)="Neither Agree nor Disagree"),3,IF(TRIM('Student Raw Data'!N14)="Agree",4,IF(OR(TRIM('Student Raw Data'!N14)="Strongly agree",TRIM('Student Raw Data'!N14)="Strongly Agree"),5,""))))))</f>
        <v>5</v>
      </c>
      <c r="O14" s="3">
        <f>IF('Student Raw Data'!O14="","",IF(OR(TRIM('Student Raw Data'!O14)="Strongly disagree",TRIM('Student Raw Data'!O14)="Strongly Disagree"),1,IF(TRIM('Student Raw Data'!O14)="Disagree",2,IF(OR(TRIM('Student Raw Data'!O14)="Neutral",TRIM('Student Raw Data'!O14)="Neither Agree nor Disagree"),3,IF(TRIM('Student Raw Data'!O14)="Agree",4,IF(OR(TRIM('Student Raw Data'!O14)="Strongly agree",TRIM('Student Raw Data'!O14)="Strongly Agree"),5,""))))))</f>
        <v>5</v>
      </c>
      <c r="P14" s="3">
        <f>IF('Student Raw Data'!P14="","",IF(OR(TRIM('Student Raw Data'!P14)="Strongly disagree",TRIM('Student Raw Data'!P14)="Strongly Disagree"),1,IF(TRIM('Student Raw Data'!P14)="Disagree",2,IF(OR(TRIM('Student Raw Data'!P14)="Neutral",TRIM('Student Raw Data'!P14)="Neither Agree nor Disagree"),3,IF(TRIM('Student Raw Data'!P14)="Agree",4,IF(OR(TRIM('Student Raw Data'!P14)="Strongly agree",TRIM('Student Raw Data'!P14)="Strongly Agree"),5,""))))))</f>
        <v>5</v>
      </c>
      <c r="Q14" s="3">
        <f>IF('Student Raw Data'!Q14="","",IF(OR(TRIM('Student Raw Data'!Q14)="Strongly disagree",TRIM('Student Raw Data'!Q14)="Strongly Disagree"),1,IF(TRIM('Student Raw Data'!Q14)="Disagree",2,IF(OR(TRIM('Student Raw Data'!Q14)="Neutral",TRIM('Student Raw Data'!Q14)="Neither Agree nor Disagree"),3,IF(TRIM('Student Raw Data'!Q14)="Agree",4,IF(OR(TRIM('Student Raw Data'!Q14)="Strongly agree",TRIM('Student Raw Data'!Q14)="Strongly Agree"),5,""))))))</f>
        <v>5</v>
      </c>
      <c r="R14" s="3">
        <f>IF('Student Raw Data'!R14="","",IF(OR(TRIM('Student Raw Data'!R14)="Strongly disagree",TRIM('Student Raw Data'!R14)="Strongly Disagree"),1,IF(TRIM('Student Raw Data'!R14)="Disagree",2,IF(OR(TRIM('Student Raw Data'!R14)="Neutral",TRIM('Student Raw Data'!R14)="Neither Agree nor Disagree"),3,IF(TRIM('Student Raw Data'!R14)="Agree",4,IF(OR(TRIM('Student Raw Data'!R14)="Strongly agree",TRIM('Student Raw Data'!R14)="Strongly Agree"),5,""))))))</f>
        <v>4</v>
      </c>
      <c r="S14" s="3">
        <f>IF('Student Raw Data'!S14="","",IF(OR(TRIM('Student Raw Data'!S14)="Strongly disagree",TRIM('Student Raw Data'!S14)="Strongly Disagree"),1,IF(TRIM('Student Raw Data'!S14)="Disagree",2,IF(OR(TRIM('Student Raw Data'!S14)="Neutral",TRIM('Student Raw Data'!S14)="Neither Agree nor Disagree"),3,IF(TRIM('Student Raw Data'!S14)="Agree",4,IF(OR(TRIM('Student Raw Data'!S14)="Strongly agree",TRIM('Student Raw Data'!S14)="Strongly Agree"),5,""))))))</f>
        <v>4</v>
      </c>
      <c r="T14" s="3">
        <f>IF('Student Raw Data'!T14="","",IF(OR(TRIM('Student Raw Data'!T14)="Strongly disagree",TRIM('Student Raw Data'!T14)="Strongly Disagree"),1,IF(TRIM('Student Raw Data'!T14)="Disagree",2,IF(OR(TRIM('Student Raw Data'!T14)="Neutral",TRIM('Student Raw Data'!T14)="Neither Agree nor Disagree"),3,IF(TRIM('Student Raw Data'!T14)="Agree",4,IF(OR(TRIM('Student Raw Data'!T14)="Strongly agree",TRIM('Student Raw Data'!T14)="Strongly Agree"),5,""))))))</f>
        <v>4</v>
      </c>
      <c r="U14" s="3">
        <f>IF('Student Raw Data'!U14="","",IF(OR(TRIM('Student Raw Data'!U14)="Strongly disagree",TRIM('Student Raw Data'!U14)="Strongly Disagree"),1,IF(TRIM('Student Raw Data'!U14)="Disagree",2,IF(OR(TRIM('Student Raw Data'!U14)="Neutral",TRIM('Student Raw Data'!U14)="Neither Agree nor Disagree"),3,IF(TRIM('Student Raw Data'!U14)="Agree",4,IF(OR(TRIM('Student Raw Data'!U14)="Strongly agree",TRIM('Student Raw Data'!U14)="Strongly Agree"),5,""))))))</f>
        <v>4</v>
      </c>
      <c r="V14" s="3">
        <f>IF('Student Raw Data'!V14="","",IF(OR(TRIM('Student Raw Data'!V14)="Strongly disagree",TRIM('Student Raw Data'!V14)="Strongly Disagree"),1,IF(TRIM('Student Raw Data'!V14)="Disagree",2,IF(OR(TRIM('Student Raw Data'!V14)="Neutral",TRIM('Student Raw Data'!V14)="Neither Agree nor Disagree"),3,IF(TRIM('Student Raw Data'!V14)="Agree",4,IF(OR(TRIM('Student Raw Data'!V14)="Strongly agree",TRIM('Student Raw Data'!V14)="Strongly Agree"),5,""))))))</f>
        <v>4</v>
      </c>
      <c r="W14" s="3">
        <f>IF('Student Raw Data'!W14="","",IF(OR(TRIM('Student Raw Data'!W14)="Strongly disagree",TRIM('Student Raw Data'!W14)="Strongly Disagree"),1,IF(TRIM('Student Raw Data'!W14)="Disagree",2,IF(OR(TRIM('Student Raw Data'!W14)="Neutral",TRIM('Student Raw Data'!W14)="Neither Agree nor Disagree"),3,IF(TRIM('Student Raw Data'!W14)="Agree",4,IF(OR(TRIM('Student Raw Data'!W14)="Strongly agree",TRIM('Student Raw Data'!W14)="Strongly Agree"),5,""))))))</f>
        <v>4</v>
      </c>
      <c r="X14" s="3">
        <f>IF('Student Raw Data'!X14="","",IF(OR(TRIM('Student Raw Data'!X14)="Strongly disagree",TRIM('Student Raw Data'!X14)="Strongly Disagree"),1,IF(TRIM('Student Raw Data'!X14)="Disagree",2,IF(OR(TRIM('Student Raw Data'!X14)="Neutral",TRIM('Student Raw Data'!X14)="Neither Agree nor Disagree"),3,IF(TRIM('Student Raw Data'!X14)="Agree",4,IF(OR(TRIM('Student Raw Data'!X14)="Strongly agree",TRIM('Student Raw Data'!X14)="Strongly Agree"),5,""))))))</f>
        <v>4</v>
      </c>
      <c r="Y14" s="3">
        <f>IF('Student Raw Data'!Y14="","",IF(OR(TRIM('Student Raw Data'!Y14)="Strongly disagree",TRIM('Student Raw Data'!Y14)="Strongly Disagree"),1,IF(TRIM('Student Raw Data'!Y14)="Disagree",2,IF(OR(TRIM('Student Raw Data'!Y14)="Neutral",TRIM('Student Raw Data'!Y14)="Neither Agree nor Disagree"),3,IF(TRIM('Student Raw Data'!Y14)="Agree",4,IF(OR(TRIM('Student Raw Data'!Y14)="Strongly agree",TRIM('Student Raw Data'!Y14)="Strongly Agree"),5,""))))))</f>
        <v>4</v>
      </c>
      <c r="Z14" s="3">
        <f>IF('Student Raw Data'!Z14="","",IF(OR(TRIM('Student Raw Data'!Z14)="Strongly disagree",TRIM('Student Raw Data'!Z14)="Strongly Disagree"),1,IF(TRIM('Student Raw Data'!Z14)="Disagree",2,IF(OR(TRIM('Student Raw Data'!Z14)="Neutral",TRIM('Student Raw Data'!Z14)="Neither Agree nor Disagree"),3,IF(TRIM('Student Raw Data'!Z14)="Agree",4,IF(OR(TRIM('Student Raw Data'!Z14)="Strongly agree",TRIM('Student Raw Data'!Z14)="Strongly Agree"),5,""))))))</f>
        <v>4</v>
      </c>
      <c r="AA14" s="3">
        <f>'Student Raw Data'!AA14</f>
        <v>5</v>
      </c>
      <c r="AB14" s="3" t="str">
        <f>'Student Raw Data'!AB14</f>
        <v>Agree</v>
      </c>
      <c r="AC14" s="3" t="str">
        <f>'Student Raw Data'!AC14</f>
        <v>Probably Yes</v>
      </c>
      <c r="AD14" s="3">
        <f>'Student Raw Data'!AD14</f>
        <v>0</v>
      </c>
      <c r="AE14" s="3">
        <f>'Student Raw Data'!AE14</f>
        <v>0</v>
      </c>
      <c r="AF14" s="3">
        <f>'Student Raw Data'!AF14</f>
        <v>0</v>
      </c>
    </row>
    <row r="15" spans="1:32" ht="16" x14ac:dyDescent="0.2">
      <c r="A15" s="2">
        <f>'Student Raw Data'!A15</f>
        <v>46278.586568229199</v>
      </c>
      <c r="B15" s="3" t="str">
        <f>'Student Raw Data'!B15</f>
        <v>Yes</v>
      </c>
      <c r="C15" s="3" t="str">
        <f>'Student Raw Data'!C15</f>
        <v>PGDM</v>
      </c>
      <c r="D15" s="3" t="str">
        <f>'Student Raw Data'!D15</f>
        <v>2-3 times a week</v>
      </c>
      <c r="E15" s="3" t="str">
        <f>'Student Raw Data'!E15</f>
        <v>6–12 months</v>
      </c>
      <c r="F15" s="3" t="str">
        <f>'Student Raw Data'!F15</f>
        <v>Morning</v>
      </c>
      <c r="G15" s="3">
        <f>IF('Student Raw Data'!G15="","",IF(OR(TRIM('Student Raw Data'!G15)="Strongly disagree",TRIM('Student Raw Data'!G15)="Strongly Disagree"),1,IF(TRIM('Student Raw Data'!G15)="Disagree",2,IF(OR(TRIM('Student Raw Data'!G15)="Neutral",TRIM('Student Raw Data'!G15)="Neither Agree nor Disagree"),3,IF(TRIM('Student Raw Data'!G15)="Agree",4,IF(OR(TRIM('Student Raw Data'!G15)="Strongly agree",TRIM('Student Raw Data'!G15)="Strongly Agree"),5,""))))))</f>
        <v>3</v>
      </c>
      <c r="H15" s="3">
        <f>IF('Student Raw Data'!H15="","",IF(OR(TRIM('Student Raw Data'!H15)="Strongly disagree",TRIM('Student Raw Data'!H15)="Strongly Disagree"),1,IF(TRIM('Student Raw Data'!H15)="Disagree",2,IF(OR(TRIM('Student Raw Data'!H15)="Neutral",TRIM('Student Raw Data'!H15)="Neither Agree nor Disagree"),3,IF(TRIM('Student Raw Data'!H15)="Agree",4,IF(OR(TRIM('Student Raw Data'!H15)="Strongly agree",TRIM('Student Raw Data'!H15)="Strongly Agree"),5,""))))))</f>
        <v>4</v>
      </c>
      <c r="I15" s="3">
        <f>IF('Student Raw Data'!I15="","",IF(OR(TRIM('Student Raw Data'!I15)="Strongly disagree",TRIM('Student Raw Data'!I15)="Strongly Disagree"),1,IF(TRIM('Student Raw Data'!I15)="Disagree",2,IF(OR(TRIM('Student Raw Data'!I15)="Neutral",TRIM('Student Raw Data'!I15)="Neither Agree nor Disagree"),3,IF(TRIM('Student Raw Data'!I15)="Agree",4,IF(OR(TRIM('Student Raw Data'!I15)="Strongly agree",TRIM('Student Raw Data'!I15)="Strongly Agree"),5,""))))))</f>
        <v>4</v>
      </c>
      <c r="J15" s="3">
        <f>IF('Student Raw Data'!J15="","",IF(OR(TRIM('Student Raw Data'!J15)="Strongly disagree",TRIM('Student Raw Data'!J15)="Strongly Disagree"),1,IF(TRIM('Student Raw Data'!J15)="Disagree",2,IF(OR(TRIM('Student Raw Data'!J15)="Neutral",TRIM('Student Raw Data'!J15)="Neither Agree nor Disagree"),3,IF(TRIM('Student Raw Data'!J15)="Agree",4,IF(OR(TRIM('Student Raw Data'!J15)="Strongly agree",TRIM('Student Raw Data'!J15)="Strongly Agree"),5,""))))))</f>
        <v>5</v>
      </c>
      <c r="K15" s="3">
        <f>IF('Student Raw Data'!K15="","",IF(OR(TRIM('Student Raw Data'!K15)="Strongly disagree",TRIM('Student Raw Data'!K15)="Strongly Disagree"),1,IF(TRIM('Student Raw Data'!K15)="Disagree",2,IF(OR(TRIM('Student Raw Data'!K15)="Neutral",TRIM('Student Raw Data'!K15)="Neither Agree nor Disagree"),3,IF(TRIM('Student Raw Data'!K15)="Agree",4,IF(OR(TRIM('Student Raw Data'!K15)="Strongly agree",TRIM('Student Raw Data'!K15)="Strongly Agree"),5,""))))))</f>
        <v>4</v>
      </c>
      <c r="L15" s="3">
        <f>IF('Student Raw Data'!L15="","",IF(OR(TRIM('Student Raw Data'!L15)="Strongly disagree",TRIM('Student Raw Data'!L15)="Strongly Disagree"),1,IF(TRIM('Student Raw Data'!L15)="Disagree",2,IF(OR(TRIM('Student Raw Data'!L15)="Neutral",TRIM('Student Raw Data'!L15)="Neither Agree nor Disagree"),3,IF(TRIM('Student Raw Data'!L15)="Agree",4,IF(OR(TRIM('Student Raw Data'!L15)="Strongly agree",TRIM('Student Raw Data'!L15)="Strongly Agree"),5,""))))))</f>
        <v>4</v>
      </c>
      <c r="M15" s="3">
        <f>IF('Student Raw Data'!M15="","",IF(OR(TRIM('Student Raw Data'!M15)="Strongly disagree",TRIM('Student Raw Data'!M15)="Strongly Disagree"),1,IF(TRIM('Student Raw Data'!M15)="Disagree",2,IF(OR(TRIM('Student Raw Data'!M15)="Neutral",TRIM('Student Raw Data'!M15)="Neither Agree nor Disagree"),3,IF(TRIM('Student Raw Data'!M15)="Agree",4,IF(OR(TRIM('Student Raw Data'!M15)="Strongly agree",TRIM('Student Raw Data'!M15)="Strongly Agree"),5,""))))))</f>
        <v>5</v>
      </c>
      <c r="N15" s="3">
        <f>IF('Student Raw Data'!N15="","",IF(OR(TRIM('Student Raw Data'!N15)="Strongly disagree",TRIM('Student Raw Data'!N15)="Strongly Disagree"),1,IF(TRIM('Student Raw Data'!N15)="Disagree",2,IF(OR(TRIM('Student Raw Data'!N15)="Neutral",TRIM('Student Raw Data'!N15)="Neither Agree nor Disagree"),3,IF(TRIM('Student Raw Data'!N15)="Agree",4,IF(OR(TRIM('Student Raw Data'!N15)="Strongly agree",TRIM('Student Raw Data'!N15)="Strongly Agree"),5,""))))))</f>
        <v>5</v>
      </c>
      <c r="O15" s="3">
        <f>IF('Student Raw Data'!O15="","",IF(OR(TRIM('Student Raw Data'!O15)="Strongly disagree",TRIM('Student Raw Data'!O15)="Strongly Disagree"),1,IF(TRIM('Student Raw Data'!O15)="Disagree",2,IF(OR(TRIM('Student Raw Data'!O15)="Neutral",TRIM('Student Raw Data'!O15)="Neither Agree nor Disagree"),3,IF(TRIM('Student Raw Data'!O15)="Agree",4,IF(OR(TRIM('Student Raw Data'!O15)="Strongly agree",TRIM('Student Raw Data'!O15)="Strongly Agree"),5,""))))))</f>
        <v>5</v>
      </c>
      <c r="P15" s="3">
        <f>IF('Student Raw Data'!P15="","",IF(OR(TRIM('Student Raw Data'!P15)="Strongly disagree",TRIM('Student Raw Data'!P15)="Strongly Disagree"),1,IF(TRIM('Student Raw Data'!P15)="Disagree",2,IF(OR(TRIM('Student Raw Data'!P15)="Neutral",TRIM('Student Raw Data'!P15)="Neither Agree nor Disagree"),3,IF(TRIM('Student Raw Data'!P15)="Agree",4,IF(OR(TRIM('Student Raw Data'!P15)="Strongly agree",TRIM('Student Raw Data'!P15)="Strongly Agree"),5,""))))))</f>
        <v>3</v>
      </c>
      <c r="Q15" s="3">
        <f>IF('Student Raw Data'!Q15="","",IF(OR(TRIM('Student Raw Data'!Q15)="Strongly disagree",TRIM('Student Raw Data'!Q15)="Strongly Disagree"),1,IF(TRIM('Student Raw Data'!Q15)="Disagree",2,IF(OR(TRIM('Student Raw Data'!Q15)="Neutral",TRIM('Student Raw Data'!Q15)="Neither Agree nor Disagree"),3,IF(TRIM('Student Raw Data'!Q15)="Agree",4,IF(OR(TRIM('Student Raw Data'!Q15)="Strongly agree",TRIM('Student Raw Data'!Q15)="Strongly Agree"),5,""))))))</f>
        <v>2</v>
      </c>
      <c r="R15" s="3">
        <f>IF('Student Raw Data'!R15="","",IF(OR(TRIM('Student Raw Data'!R15)="Strongly disagree",TRIM('Student Raw Data'!R15)="Strongly Disagree"),1,IF(TRIM('Student Raw Data'!R15)="Disagree",2,IF(OR(TRIM('Student Raw Data'!R15)="Neutral",TRIM('Student Raw Data'!R15)="Neither Agree nor Disagree"),3,IF(TRIM('Student Raw Data'!R15)="Agree",4,IF(OR(TRIM('Student Raw Data'!R15)="Strongly agree",TRIM('Student Raw Data'!R15)="Strongly Agree"),5,""))))))</f>
        <v>3</v>
      </c>
      <c r="S15" s="3">
        <f>IF('Student Raw Data'!S15="","",IF(OR(TRIM('Student Raw Data'!S15)="Strongly disagree",TRIM('Student Raw Data'!S15)="Strongly Disagree"),1,IF(TRIM('Student Raw Data'!S15)="Disagree",2,IF(OR(TRIM('Student Raw Data'!S15)="Neutral",TRIM('Student Raw Data'!S15)="Neither Agree nor Disagree"),3,IF(TRIM('Student Raw Data'!S15)="Agree",4,IF(OR(TRIM('Student Raw Data'!S15)="Strongly agree",TRIM('Student Raw Data'!S15)="Strongly Agree"),5,""))))))</f>
        <v>2</v>
      </c>
      <c r="T15" s="3">
        <f>IF('Student Raw Data'!T15="","",IF(OR(TRIM('Student Raw Data'!T15)="Strongly disagree",TRIM('Student Raw Data'!T15)="Strongly Disagree"),1,IF(TRIM('Student Raw Data'!T15)="Disagree",2,IF(OR(TRIM('Student Raw Data'!T15)="Neutral",TRIM('Student Raw Data'!T15)="Neither Agree nor Disagree"),3,IF(TRIM('Student Raw Data'!T15)="Agree",4,IF(OR(TRIM('Student Raw Data'!T15)="Strongly agree",TRIM('Student Raw Data'!T15)="Strongly Agree"),5,""))))))</f>
        <v>5</v>
      </c>
      <c r="U15" s="3">
        <f>IF('Student Raw Data'!U15="","",IF(OR(TRIM('Student Raw Data'!U15)="Strongly disagree",TRIM('Student Raw Data'!U15)="Strongly Disagree"),1,IF(TRIM('Student Raw Data'!U15)="Disagree",2,IF(OR(TRIM('Student Raw Data'!U15)="Neutral",TRIM('Student Raw Data'!U15)="Neither Agree nor Disagree"),3,IF(TRIM('Student Raw Data'!U15)="Agree",4,IF(OR(TRIM('Student Raw Data'!U15)="Strongly agree",TRIM('Student Raw Data'!U15)="Strongly Agree"),5,""))))))</f>
        <v>5</v>
      </c>
      <c r="V15" s="3">
        <f>IF('Student Raw Data'!V15="","",IF(OR(TRIM('Student Raw Data'!V15)="Strongly disagree",TRIM('Student Raw Data'!V15)="Strongly Disagree"),1,IF(TRIM('Student Raw Data'!V15)="Disagree",2,IF(OR(TRIM('Student Raw Data'!V15)="Neutral",TRIM('Student Raw Data'!V15)="Neither Agree nor Disagree"),3,IF(TRIM('Student Raw Data'!V15)="Agree",4,IF(OR(TRIM('Student Raw Data'!V15)="Strongly agree",TRIM('Student Raw Data'!V15)="Strongly Agree"),5,""))))))</f>
        <v>5</v>
      </c>
      <c r="W15" s="3">
        <f>IF('Student Raw Data'!W15="","",IF(OR(TRIM('Student Raw Data'!W15)="Strongly disagree",TRIM('Student Raw Data'!W15)="Strongly Disagree"),1,IF(TRIM('Student Raw Data'!W15)="Disagree",2,IF(OR(TRIM('Student Raw Data'!W15)="Neutral",TRIM('Student Raw Data'!W15)="Neither Agree nor Disagree"),3,IF(TRIM('Student Raw Data'!W15)="Agree",4,IF(OR(TRIM('Student Raw Data'!W15)="Strongly agree",TRIM('Student Raw Data'!W15)="Strongly Agree"),5,""))))))</f>
        <v>5</v>
      </c>
      <c r="X15" s="3">
        <f>IF('Student Raw Data'!X15="","",IF(OR(TRIM('Student Raw Data'!X15)="Strongly disagree",TRIM('Student Raw Data'!X15)="Strongly Disagree"),1,IF(TRIM('Student Raw Data'!X15)="Disagree",2,IF(OR(TRIM('Student Raw Data'!X15)="Neutral",TRIM('Student Raw Data'!X15)="Neither Agree nor Disagree"),3,IF(TRIM('Student Raw Data'!X15)="Agree",4,IF(OR(TRIM('Student Raw Data'!X15)="Strongly agree",TRIM('Student Raw Data'!X15)="Strongly Agree"),5,""))))))</f>
        <v>5</v>
      </c>
      <c r="Y15" s="3">
        <f>IF('Student Raw Data'!Y15="","",IF(OR(TRIM('Student Raw Data'!Y15)="Strongly disagree",TRIM('Student Raw Data'!Y15)="Strongly Disagree"),1,IF(TRIM('Student Raw Data'!Y15)="Disagree",2,IF(OR(TRIM('Student Raw Data'!Y15)="Neutral",TRIM('Student Raw Data'!Y15)="Neither Agree nor Disagree"),3,IF(TRIM('Student Raw Data'!Y15)="Agree",4,IF(OR(TRIM('Student Raw Data'!Y15)="Strongly agree",TRIM('Student Raw Data'!Y15)="Strongly Agree"),5,""))))))</f>
        <v>5</v>
      </c>
      <c r="Z15" s="3">
        <f>IF('Student Raw Data'!Z15="","",IF(OR(TRIM('Student Raw Data'!Z15)="Strongly disagree",TRIM('Student Raw Data'!Z15)="Strongly Disagree"),1,IF(TRIM('Student Raw Data'!Z15)="Disagree",2,IF(OR(TRIM('Student Raw Data'!Z15)="Neutral",TRIM('Student Raw Data'!Z15)="Neither Agree nor Disagree"),3,IF(TRIM('Student Raw Data'!Z15)="Agree",4,IF(OR(TRIM('Student Raw Data'!Z15)="Strongly agree",TRIM('Student Raw Data'!Z15)="Strongly Agree"),5,""))))))</f>
        <v>4</v>
      </c>
      <c r="AA15" s="3">
        <f>'Student Raw Data'!AA15</f>
        <v>5</v>
      </c>
      <c r="AB15" s="3" t="str">
        <f>'Student Raw Data'!AB15</f>
        <v>Strongly Agree</v>
      </c>
      <c r="AC15" s="3" t="str">
        <f>'Student Raw Data'!AC15</f>
        <v>Definitely No</v>
      </c>
      <c r="AD15" s="3" t="str">
        <f>'Student Raw Data'!AD15</f>
        <v>Less equipments</v>
      </c>
      <c r="AE15" s="3" t="str">
        <f>'Student Raw Data'!AE15</f>
        <v xml:space="preserve">Adding more equipment’s </v>
      </c>
      <c r="AF15" s="3" t="str">
        <f>'Student Raw Data'!AF15</f>
        <v>No</v>
      </c>
    </row>
    <row r="16" spans="1:32" ht="16" x14ac:dyDescent="0.2">
      <c r="A16" s="2">
        <f>'Student Raw Data'!A16</f>
        <v>46278.588445196801</v>
      </c>
      <c r="B16" s="3" t="str">
        <f>'Student Raw Data'!B16</f>
        <v>Yes</v>
      </c>
      <c r="C16" s="3" t="str">
        <f>'Student Raw Data'!C16</f>
        <v>PGDM-FM</v>
      </c>
      <c r="D16" s="3" t="str">
        <f>'Student Raw Data'!D16</f>
        <v>Daily</v>
      </c>
      <c r="E16" s="3" t="str">
        <f>'Student Raw Data'!E16</f>
        <v>6–12 months</v>
      </c>
      <c r="F16" s="3" t="str">
        <f>'Student Raw Data'!F16</f>
        <v>No specific preference</v>
      </c>
      <c r="G16" s="3">
        <f>IF('Student Raw Data'!G16="","",IF(OR(TRIM('Student Raw Data'!G16)="Strongly disagree",TRIM('Student Raw Data'!G16)="Strongly Disagree"),1,IF(TRIM('Student Raw Data'!G16)="Disagree",2,IF(OR(TRIM('Student Raw Data'!G16)="Neutral",TRIM('Student Raw Data'!G16)="Neither Agree nor Disagree"),3,IF(TRIM('Student Raw Data'!G16)="Agree",4,IF(OR(TRIM('Student Raw Data'!G16)="Strongly agree",TRIM('Student Raw Data'!G16)="Strongly Agree"),5,""))))))</f>
        <v>4</v>
      </c>
      <c r="H16" s="3">
        <f>IF('Student Raw Data'!H16="","",IF(OR(TRIM('Student Raw Data'!H16)="Strongly disagree",TRIM('Student Raw Data'!H16)="Strongly Disagree"),1,IF(TRIM('Student Raw Data'!H16)="Disagree",2,IF(OR(TRIM('Student Raw Data'!H16)="Neutral",TRIM('Student Raw Data'!H16)="Neither Agree nor Disagree"),3,IF(TRIM('Student Raw Data'!H16)="Agree",4,IF(OR(TRIM('Student Raw Data'!H16)="Strongly agree",TRIM('Student Raw Data'!H16)="Strongly Agree"),5,""))))))</f>
        <v>4</v>
      </c>
      <c r="I16" s="3">
        <f>IF('Student Raw Data'!I16="","",IF(OR(TRIM('Student Raw Data'!I16)="Strongly disagree",TRIM('Student Raw Data'!I16)="Strongly Disagree"),1,IF(TRIM('Student Raw Data'!I16)="Disagree",2,IF(OR(TRIM('Student Raw Data'!I16)="Neutral",TRIM('Student Raw Data'!I16)="Neither Agree nor Disagree"),3,IF(TRIM('Student Raw Data'!I16)="Agree",4,IF(OR(TRIM('Student Raw Data'!I16)="Strongly agree",TRIM('Student Raw Data'!I16)="Strongly Agree"),5,""))))))</f>
        <v>5</v>
      </c>
      <c r="J16" s="3">
        <f>IF('Student Raw Data'!J16="","",IF(OR(TRIM('Student Raw Data'!J16)="Strongly disagree",TRIM('Student Raw Data'!J16)="Strongly Disagree"),1,IF(TRIM('Student Raw Data'!J16)="Disagree",2,IF(OR(TRIM('Student Raw Data'!J16)="Neutral",TRIM('Student Raw Data'!J16)="Neither Agree nor Disagree"),3,IF(TRIM('Student Raw Data'!J16)="Agree",4,IF(OR(TRIM('Student Raw Data'!J16)="Strongly agree",TRIM('Student Raw Data'!J16)="Strongly Agree"),5,""))))))</f>
        <v>5</v>
      </c>
      <c r="K16" s="3">
        <f>IF('Student Raw Data'!K16="","",IF(OR(TRIM('Student Raw Data'!K16)="Strongly disagree",TRIM('Student Raw Data'!K16)="Strongly Disagree"),1,IF(TRIM('Student Raw Data'!K16)="Disagree",2,IF(OR(TRIM('Student Raw Data'!K16)="Neutral",TRIM('Student Raw Data'!K16)="Neither Agree nor Disagree"),3,IF(TRIM('Student Raw Data'!K16)="Agree",4,IF(OR(TRIM('Student Raw Data'!K16)="Strongly agree",TRIM('Student Raw Data'!K16)="Strongly Agree"),5,""))))))</f>
        <v>4</v>
      </c>
      <c r="L16" s="3">
        <f>IF('Student Raw Data'!L16="","",IF(OR(TRIM('Student Raw Data'!L16)="Strongly disagree",TRIM('Student Raw Data'!L16)="Strongly Disagree"),1,IF(TRIM('Student Raw Data'!L16)="Disagree",2,IF(OR(TRIM('Student Raw Data'!L16)="Neutral",TRIM('Student Raw Data'!L16)="Neither Agree nor Disagree"),3,IF(TRIM('Student Raw Data'!L16)="Agree",4,IF(OR(TRIM('Student Raw Data'!L16)="Strongly agree",TRIM('Student Raw Data'!L16)="Strongly Agree"),5,""))))))</f>
        <v>5</v>
      </c>
      <c r="M16" s="3">
        <f>IF('Student Raw Data'!M16="","",IF(OR(TRIM('Student Raw Data'!M16)="Strongly disagree",TRIM('Student Raw Data'!M16)="Strongly Disagree"),1,IF(TRIM('Student Raw Data'!M16)="Disagree",2,IF(OR(TRIM('Student Raw Data'!M16)="Neutral",TRIM('Student Raw Data'!M16)="Neither Agree nor Disagree"),3,IF(TRIM('Student Raw Data'!M16)="Agree",4,IF(OR(TRIM('Student Raw Data'!M16)="Strongly agree",TRIM('Student Raw Data'!M16)="Strongly Agree"),5,""))))))</f>
        <v>5</v>
      </c>
      <c r="N16" s="3">
        <f>IF('Student Raw Data'!N16="","",IF(OR(TRIM('Student Raw Data'!N16)="Strongly disagree",TRIM('Student Raw Data'!N16)="Strongly Disagree"),1,IF(TRIM('Student Raw Data'!N16)="Disagree",2,IF(OR(TRIM('Student Raw Data'!N16)="Neutral",TRIM('Student Raw Data'!N16)="Neither Agree nor Disagree"),3,IF(TRIM('Student Raw Data'!N16)="Agree",4,IF(OR(TRIM('Student Raw Data'!N16)="Strongly agree",TRIM('Student Raw Data'!N16)="Strongly Agree"),5,""))))))</f>
        <v>5</v>
      </c>
      <c r="O16" s="3">
        <f>IF('Student Raw Data'!O16="","",IF(OR(TRIM('Student Raw Data'!O16)="Strongly disagree",TRIM('Student Raw Data'!O16)="Strongly Disagree"),1,IF(TRIM('Student Raw Data'!O16)="Disagree",2,IF(OR(TRIM('Student Raw Data'!O16)="Neutral",TRIM('Student Raw Data'!O16)="Neither Agree nor Disagree"),3,IF(TRIM('Student Raw Data'!O16)="Agree",4,IF(OR(TRIM('Student Raw Data'!O16)="Strongly agree",TRIM('Student Raw Data'!O16)="Strongly Agree"),5,""))))))</f>
        <v>5</v>
      </c>
      <c r="P16" s="3">
        <f>IF('Student Raw Data'!P16="","",IF(OR(TRIM('Student Raw Data'!P16)="Strongly disagree",TRIM('Student Raw Data'!P16)="Strongly Disagree"),1,IF(TRIM('Student Raw Data'!P16)="Disagree",2,IF(OR(TRIM('Student Raw Data'!P16)="Neutral",TRIM('Student Raw Data'!P16)="Neither Agree nor Disagree"),3,IF(TRIM('Student Raw Data'!P16)="Agree",4,IF(OR(TRIM('Student Raw Data'!P16)="Strongly agree",TRIM('Student Raw Data'!P16)="Strongly Agree"),5,""))))))</f>
        <v>4</v>
      </c>
      <c r="Q16" s="3">
        <f>IF('Student Raw Data'!Q16="","",IF(OR(TRIM('Student Raw Data'!Q16)="Strongly disagree",TRIM('Student Raw Data'!Q16)="Strongly Disagree"),1,IF(TRIM('Student Raw Data'!Q16)="Disagree",2,IF(OR(TRIM('Student Raw Data'!Q16)="Neutral",TRIM('Student Raw Data'!Q16)="Neither Agree nor Disagree"),3,IF(TRIM('Student Raw Data'!Q16)="Agree",4,IF(OR(TRIM('Student Raw Data'!Q16)="Strongly agree",TRIM('Student Raw Data'!Q16)="Strongly Agree"),5,""))))))</f>
        <v>5</v>
      </c>
      <c r="R16" s="3">
        <f>IF('Student Raw Data'!R16="","",IF(OR(TRIM('Student Raw Data'!R16)="Strongly disagree",TRIM('Student Raw Data'!R16)="Strongly Disagree"),1,IF(TRIM('Student Raw Data'!R16)="Disagree",2,IF(OR(TRIM('Student Raw Data'!R16)="Neutral",TRIM('Student Raw Data'!R16)="Neither Agree nor Disagree"),3,IF(TRIM('Student Raw Data'!R16)="Agree",4,IF(OR(TRIM('Student Raw Data'!R16)="Strongly agree",TRIM('Student Raw Data'!R16)="Strongly Agree"),5,""))))))</f>
        <v>4</v>
      </c>
      <c r="S16" s="3">
        <f>IF('Student Raw Data'!S16="","",IF(OR(TRIM('Student Raw Data'!S16)="Strongly disagree",TRIM('Student Raw Data'!S16)="Strongly Disagree"),1,IF(TRIM('Student Raw Data'!S16)="Disagree",2,IF(OR(TRIM('Student Raw Data'!S16)="Neutral",TRIM('Student Raw Data'!S16)="Neither Agree nor Disagree"),3,IF(TRIM('Student Raw Data'!S16)="Agree",4,IF(OR(TRIM('Student Raw Data'!S16)="Strongly agree",TRIM('Student Raw Data'!S16)="Strongly Agree"),5,""))))))</f>
        <v>4</v>
      </c>
      <c r="T16" s="3">
        <f>IF('Student Raw Data'!T16="","",IF(OR(TRIM('Student Raw Data'!T16)="Strongly disagree",TRIM('Student Raw Data'!T16)="Strongly Disagree"),1,IF(TRIM('Student Raw Data'!T16)="Disagree",2,IF(OR(TRIM('Student Raw Data'!T16)="Neutral",TRIM('Student Raw Data'!T16)="Neither Agree nor Disagree"),3,IF(TRIM('Student Raw Data'!T16)="Agree",4,IF(OR(TRIM('Student Raw Data'!T16)="Strongly agree",TRIM('Student Raw Data'!T16)="Strongly Agree"),5,""))))))</f>
        <v>5</v>
      </c>
      <c r="U16" s="3">
        <f>IF('Student Raw Data'!U16="","",IF(OR(TRIM('Student Raw Data'!U16)="Strongly disagree",TRIM('Student Raw Data'!U16)="Strongly Disagree"),1,IF(TRIM('Student Raw Data'!U16)="Disagree",2,IF(OR(TRIM('Student Raw Data'!U16)="Neutral",TRIM('Student Raw Data'!U16)="Neither Agree nor Disagree"),3,IF(TRIM('Student Raw Data'!U16)="Agree",4,IF(OR(TRIM('Student Raw Data'!U16)="Strongly agree",TRIM('Student Raw Data'!U16)="Strongly Agree"),5,""))))))</f>
        <v>5</v>
      </c>
      <c r="V16" s="3">
        <f>IF('Student Raw Data'!V16="","",IF(OR(TRIM('Student Raw Data'!V16)="Strongly disagree",TRIM('Student Raw Data'!V16)="Strongly Disagree"),1,IF(TRIM('Student Raw Data'!V16)="Disagree",2,IF(OR(TRIM('Student Raw Data'!V16)="Neutral",TRIM('Student Raw Data'!V16)="Neither Agree nor Disagree"),3,IF(TRIM('Student Raw Data'!V16)="Agree",4,IF(OR(TRIM('Student Raw Data'!V16)="Strongly agree",TRIM('Student Raw Data'!V16)="Strongly Agree"),5,""))))))</f>
        <v>4</v>
      </c>
      <c r="W16" s="3">
        <f>IF('Student Raw Data'!W16="","",IF(OR(TRIM('Student Raw Data'!W16)="Strongly disagree",TRIM('Student Raw Data'!W16)="Strongly Disagree"),1,IF(TRIM('Student Raw Data'!W16)="Disagree",2,IF(OR(TRIM('Student Raw Data'!W16)="Neutral",TRIM('Student Raw Data'!W16)="Neither Agree nor Disagree"),3,IF(TRIM('Student Raw Data'!W16)="Agree",4,IF(OR(TRIM('Student Raw Data'!W16)="Strongly agree",TRIM('Student Raw Data'!W16)="Strongly Agree"),5,""))))))</f>
        <v>4</v>
      </c>
      <c r="X16" s="3">
        <f>IF('Student Raw Data'!X16="","",IF(OR(TRIM('Student Raw Data'!X16)="Strongly disagree",TRIM('Student Raw Data'!X16)="Strongly Disagree"),1,IF(TRIM('Student Raw Data'!X16)="Disagree",2,IF(OR(TRIM('Student Raw Data'!X16)="Neutral",TRIM('Student Raw Data'!X16)="Neither Agree nor Disagree"),3,IF(TRIM('Student Raw Data'!X16)="Agree",4,IF(OR(TRIM('Student Raw Data'!X16)="Strongly agree",TRIM('Student Raw Data'!X16)="Strongly Agree"),5,""))))))</f>
        <v>5</v>
      </c>
      <c r="Y16" s="3">
        <f>IF('Student Raw Data'!Y16="","",IF(OR(TRIM('Student Raw Data'!Y16)="Strongly disagree",TRIM('Student Raw Data'!Y16)="Strongly Disagree"),1,IF(TRIM('Student Raw Data'!Y16)="Disagree",2,IF(OR(TRIM('Student Raw Data'!Y16)="Neutral",TRIM('Student Raw Data'!Y16)="Neither Agree nor Disagree"),3,IF(TRIM('Student Raw Data'!Y16)="Agree",4,IF(OR(TRIM('Student Raw Data'!Y16)="Strongly agree",TRIM('Student Raw Data'!Y16)="Strongly Agree"),5,""))))))</f>
        <v>4</v>
      </c>
      <c r="Z16" s="3">
        <f>IF('Student Raw Data'!Z16="","",IF(OR(TRIM('Student Raw Data'!Z16)="Strongly disagree",TRIM('Student Raw Data'!Z16)="Strongly Disagree"),1,IF(TRIM('Student Raw Data'!Z16)="Disagree",2,IF(OR(TRIM('Student Raw Data'!Z16)="Neutral",TRIM('Student Raw Data'!Z16)="Neither Agree nor Disagree"),3,IF(TRIM('Student Raw Data'!Z16)="Agree",4,IF(OR(TRIM('Student Raw Data'!Z16)="Strongly agree",TRIM('Student Raw Data'!Z16)="Strongly Agree"),5,""))))))</f>
        <v>4</v>
      </c>
      <c r="AA16" s="3">
        <f>'Student Raw Data'!AA16</f>
        <v>2</v>
      </c>
      <c r="AB16" s="3" t="str">
        <f>'Student Raw Data'!AB16</f>
        <v>Neutral</v>
      </c>
      <c r="AC16" s="3" t="str">
        <f>'Student Raw Data'!AC16</f>
        <v>Not Sure</v>
      </c>
      <c r="AD16" s="3" t="str">
        <f>'Student Raw Data'!AD16</f>
        <v xml:space="preserve">space </v>
      </c>
      <c r="AE16" s="3" t="str">
        <f>'Student Raw Data'!AE16</f>
        <v xml:space="preserve">more equipments </v>
      </c>
      <c r="AF16" s="3">
        <f>'Student Raw Data'!AF16</f>
        <v>0</v>
      </c>
    </row>
    <row r="17" spans="1:32" ht="16" x14ac:dyDescent="0.2">
      <c r="A17" s="2">
        <f>'Student Raw Data'!A17</f>
        <v>46278.592123020797</v>
      </c>
      <c r="B17" s="3" t="str">
        <f>'Student Raw Data'!B17</f>
        <v>Yes</v>
      </c>
      <c r="C17" s="3" t="str">
        <f>'Student Raw Data'!C17</f>
        <v>PGDM</v>
      </c>
      <c r="D17" s="3" t="str">
        <f>'Student Raw Data'!D17</f>
        <v>4-5 times a week</v>
      </c>
      <c r="E17" s="3" t="str">
        <f>'Student Raw Data'!E17</f>
        <v>6–12 months</v>
      </c>
      <c r="F17" s="3" t="str">
        <f>'Student Raw Data'!F17</f>
        <v>Evening</v>
      </c>
      <c r="G17" s="3">
        <f>IF('Student Raw Data'!G17="","",IF(OR(TRIM('Student Raw Data'!G17)="Strongly disagree",TRIM('Student Raw Data'!G17)="Strongly Disagree"),1,IF(TRIM('Student Raw Data'!G17)="Disagree",2,IF(OR(TRIM('Student Raw Data'!G17)="Neutral",TRIM('Student Raw Data'!G17)="Neither Agree nor Disagree"),3,IF(TRIM('Student Raw Data'!G17)="Agree",4,IF(OR(TRIM('Student Raw Data'!G17)="Strongly agree",TRIM('Student Raw Data'!G17)="Strongly Agree"),5,""))))))</f>
        <v>3</v>
      </c>
      <c r="H17" s="3">
        <f>IF('Student Raw Data'!H17="","",IF(OR(TRIM('Student Raw Data'!H17)="Strongly disagree",TRIM('Student Raw Data'!H17)="Strongly Disagree"),1,IF(TRIM('Student Raw Data'!H17)="Disagree",2,IF(OR(TRIM('Student Raw Data'!H17)="Neutral",TRIM('Student Raw Data'!H17)="Neither Agree nor Disagree"),3,IF(TRIM('Student Raw Data'!H17)="Agree",4,IF(OR(TRIM('Student Raw Data'!H17)="Strongly agree",TRIM('Student Raw Data'!H17)="Strongly Agree"),5,""))))))</f>
        <v>2</v>
      </c>
      <c r="I17" s="3">
        <f>IF('Student Raw Data'!I17="","",IF(OR(TRIM('Student Raw Data'!I17)="Strongly disagree",TRIM('Student Raw Data'!I17)="Strongly Disagree"),1,IF(TRIM('Student Raw Data'!I17)="Disagree",2,IF(OR(TRIM('Student Raw Data'!I17)="Neutral",TRIM('Student Raw Data'!I17)="Neither Agree nor Disagree"),3,IF(TRIM('Student Raw Data'!I17)="Agree",4,IF(OR(TRIM('Student Raw Data'!I17)="Strongly agree",TRIM('Student Raw Data'!I17)="Strongly Agree"),5,""))))))</f>
        <v>4</v>
      </c>
      <c r="J17" s="3">
        <f>IF('Student Raw Data'!J17="","",IF(OR(TRIM('Student Raw Data'!J17)="Strongly disagree",TRIM('Student Raw Data'!J17)="Strongly Disagree"),1,IF(TRIM('Student Raw Data'!J17)="Disagree",2,IF(OR(TRIM('Student Raw Data'!J17)="Neutral",TRIM('Student Raw Data'!J17)="Neither Agree nor Disagree"),3,IF(TRIM('Student Raw Data'!J17)="Agree",4,IF(OR(TRIM('Student Raw Data'!J17)="Strongly agree",TRIM('Student Raw Data'!J17)="Strongly Agree"),5,""))))))</f>
        <v>3</v>
      </c>
      <c r="K17" s="3">
        <f>IF('Student Raw Data'!K17="","",IF(OR(TRIM('Student Raw Data'!K17)="Strongly disagree",TRIM('Student Raw Data'!K17)="Strongly Disagree"),1,IF(TRIM('Student Raw Data'!K17)="Disagree",2,IF(OR(TRIM('Student Raw Data'!K17)="Neutral",TRIM('Student Raw Data'!K17)="Neither Agree nor Disagree"),3,IF(TRIM('Student Raw Data'!K17)="Agree",4,IF(OR(TRIM('Student Raw Data'!K17)="Strongly agree",TRIM('Student Raw Data'!K17)="Strongly Agree"),5,""))))))</f>
        <v>2</v>
      </c>
      <c r="L17" s="3">
        <f>IF('Student Raw Data'!L17="","",IF(OR(TRIM('Student Raw Data'!L17)="Strongly disagree",TRIM('Student Raw Data'!L17)="Strongly Disagree"),1,IF(TRIM('Student Raw Data'!L17)="Disagree",2,IF(OR(TRIM('Student Raw Data'!L17)="Neutral",TRIM('Student Raw Data'!L17)="Neither Agree nor Disagree"),3,IF(TRIM('Student Raw Data'!L17)="Agree",4,IF(OR(TRIM('Student Raw Data'!L17)="Strongly agree",TRIM('Student Raw Data'!L17)="Strongly Agree"),5,""))))))</f>
        <v>3</v>
      </c>
      <c r="M17" s="3">
        <f>IF('Student Raw Data'!M17="","",IF(OR(TRIM('Student Raw Data'!M17)="Strongly disagree",TRIM('Student Raw Data'!M17)="Strongly Disagree"),1,IF(TRIM('Student Raw Data'!M17)="Disagree",2,IF(OR(TRIM('Student Raw Data'!M17)="Neutral",TRIM('Student Raw Data'!M17)="Neither Agree nor Disagree"),3,IF(TRIM('Student Raw Data'!M17)="Agree",4,IF(OR(TRIM('Student Raw Data'!M17)="Strongly agree",TRIM('Student Raw Data'!M17)="Strongly Agree"),5,""))))))</f>
        <v>3</v>
      </c>
      <c r="N17" s="3">
        <f>IF('Student Raw Data'!N17="","",IF(OR(TRIM('Student Raw Data'!N17)="Strongly disagree",TRIM('Student Raw Data'!N17)="Strongly Disagree"),1,IF(TRIM('Student Raw Data'!N17)="Disagree",2,IF(OR(TRIM('Student Raw Data'!N17)="Neutral",TRIM('Student Raw Data'!N17)="Neither Agree nor Disagree"),3,IF(TRIM('Student Raw Data'!N17)="Agree",4,IF(OR(TRIM('Student Raw Data'!N17)="Strongly agree",TRIM('Student Raw Data'!N17)="Strongly Agree"),5,""))))))</f>
        <v>3</v>
      </c>
      <c r="O17" s="3">
        <f>IF('Student Raw Data'!O17="","",IF(OR(TRIM('Student Raw Data'!O17)="Strongly disagree",TRIM('Student Raw Data'!O17)="Strongly Disagree"),1,IF(TRIM('Student Raw Data'!O17)="Disagree",2,IF(OR(TRIM('Student Raw Data'!O17)="Neutral",TRIM('Student Raw Data'!O17)="Neither Agree nor Disagree"),3,IF(TRIM('Student Raw Data'!O17)="Agree",4,IF(OR(TRIM('Student Raw Data'!O17)="Strongly agree",TRIM('Student Raw Data'!O17)="Strongly Agree"),5,""))))))</f>
        <v>3</v>
      </c>
      <c r="P17" s="3">
        <f>IF('Student Raw Data'!P17="","",IF(OR(TRIM('Student Raw Data'!P17)="Strongly disagree",TRIM('Student Raw Data'!P17)="Strongly Disagree"),1,IF(TRIM('Student Raw Data'!P17)="Disagree",2,IF(OR(TRIM('Student Raw Data'!P17)="Neutral",TRIM('Student Raw Data'!P17)="Neither Agree nor Disagree"),3,IF(TRIM('Student Raw Data'!P17)="Agree",4,IF(OR(TRIM('Student Raw Data'!P17)="Strongly agree",TRIM('Student Raw Data'!P17)="Strongly Agree"),5,""))))))</f>
        <v>3</v>
      </c>
      <c r="Q17" s="3">
        <f>IF('Student Raw Data'!Q17="","",IF(OR(TRIM('Student Raw Data'!Q17)="Strongly disagree",TRIM('Student Raw Data'!Q17)="Strongly Disagree"),1,IF(TRIM('Student Raw Data'!Q17)="Disagree",2,IF(OR(TRIM('Student Raw Data'!Q17)="Neutral",TRIM('Student Raw Data'!Q17)="Neither Agree nor Disagree"),3,IF(TRIM('Student Raw Data'!Q17)="Agree",4,IF(OR(TRIM('Student Raw Data'!Q17)="Strongly agree",TRIM('Student Raw Data'!Q17)="Strongly Agree"),5,""))))))</f>
        <v>3</v>
      </c>
      <c r="R17" s="3">
        <f>IF('Student Raw Data'!R17="","",IF(OR(TRIM('Student Raw Data'!R17)="Strongly disagree",TRIM('Student Raw Data'!R17)="Strongly Disagree"),1,IF(TRIM('Student Raw Data'!R17)="Disagree",2,IF(OR(TRIM('Student Raw Data'!R17)="Neutral",TRIM('Student Raw Data'!R17)="Neither Agree nor Disagree"),3,IF(TRIM('Student Raw Data'!R17)="Agree",4,IF(OR(TRIM('Student Raw Data'!R17)="Strongly agree",TRIM('Student Raw Data'!R17)="Strongly Agree"),5,""))))))</f>
        <v>3</v>
      </c>
      <c r="S17" s="3">
        <f>IF('Student Raw Data'!S17="","",IF(OR(TRIM('Student Raw Data'!S17)="Strongly disagree",TRIM('Student Raw Data'!S17)="Strongly Disagree"),1,IF(TRIM('Student Raw Data'!S17)="Disagree",2,IF(OR(TRIM('Student Raw Data'!S17)="Neutral",TRIM('Student Raw Data'!S17)="Neither Agree nor Disagree"),3,IF(TRIM('Student Raw Data'!S17)="Agree",4,IF(OR(TRIM('Student Raw Data'!S17)="Strongly agree",TRIM('Student Raw Data'!S17)="Strongly Agree"),5,""))))))</f>
        <v>4</v>
      </c>
      <c r="T17" s="3">
        <f>IF('Student Raw Data'!T17="","",IF(OR(TRIM('Student Raw Data'!T17)="Strongly disagree",TRIM('Student Raw Data'!T17)="Strongly Disagree"),1,IF(TRIM('Student Raw Data'!T17)="Disagree",2,IF(OR(TRIM('Student Raw Data'!T17)="Neutral",TRIM('Student Raw Data'!T17)="Neither Agree nor Disagree"),3,IF(TRIM('Student Raw Data'!T17)="Agree",4,IF(OR(TRIM('Student Raw Data'!T17)="Strongly agree",TRIM('Student Raw Data'!T17)="Strongly Agree"),5,""))))))</f>
        <v>4</v>
      </c>
      <c r="U17" s="3">
        <f>IF('Student Raw Data'!U17="","",IF(OR(TRIM('Student Raw Data'!U17)="Strongly disagree",TRIM('Student Raw Data'!U17)="Strongly Disagree"),1,IF(TRIM('Student Raw Data'!U17)="Disagree",2,IF(OR(TRIM('Student Raw Data'!U17)="Neutral",TRIM('Student Raw Data'!U17)="Neither Agree nor Disagree"),3,IF(TRIM('Student Raw Data'!U17)="Agree",4,IF(OR(TRIM('Student Raw Data'!U17)="Strongly agree",TRIM('Student Raw Data'!U17)="Strongly Agree"),5,""))))))</f>
        <v>3</v>
      </c>
      <c r="V17" s="3">
        <f>IF('Student Raw Data'!V17="","",IF(OR(TRIM('Student Raw Data'!V17)="Strongly disagree",TRIM('Student Raw Data'!V17)="Strongly Disagree"),1,IF(TRIM('Student Raw Data'!V17)="Disagree",2,IF(OR(TRIM('Student Raw Data'!V17)="Neutral",TRIM('Student Raw Data'!V17)="Neither Agree nor Disagree"),3,IF(TRIM('Student Raw Data'!V17)="Agree",4,IF(OR(TRIM('Student Raw Data'!V17)="Strongly agree",TRIM('Student Raw Data'!V17)="Strongly Agree"),5,""))))))</f>
        <v>3</v>
      </c>
      <c r="W17" s="3">
        <f>IF('Student Raw Data'!W17="","",IF(OR(TRIM('Student Raw Data'!W17)="Strongly disagree",TRIM('Student Raw Data'!W17)="Strongly Disagree"),1,IF(TRIM('Student Raw Data'!W17)="Disagree",2,IF(OR(TRIM('Student Raw Data'!W17)="Neutral",TRIM('Student Raw Data'!W17)="Neither Agree nor Disagree"),3,IF(TRIM('Student Raw Data'!W17)="Agree",4,IF(OR(TRIM('Student Raw Data'!W17)="Strongly agree",TRIM('Student Raw Data'!W17)="Strongly Agree"),5,""))))))</f>
        <v>2</v>
      </c>
      <c r="X17" s="3">
        <f>IF('Student Raw Data'!X17="","",IF(OR(TRIM('Student Raw Data'!X17)="Strongly disagree",TRIM('Student Raw Data'!X17)="Strongly Disagree"),1,IF(TRIM('Student Raw Data'!X17)="Disagree",2,IF(OR(TRIM('Student Raw Data'!X17)="Neutral",TRIM('Student Raw Data'!X17)="Neither Agree nor Disagree"),3,IF(TRIM('Student Raw Data'!X17)="Agree",4,IF(OR(TRIM('Student Raw Data'!X17)="Strongly agree",TRIM('Student Raw Data'!X17)="Strongly Agree"),5,""))))))</f>
        <v>3</v>
      </c>
      <c r="Y17" s="3">
        <f>IF('Student Raw Data'!Y17="","",IF(OR(TRIM('Student Raw Data'!Y17)="Strongly disagree",TRIM('Student Raw Data'!Y17)="Strongly Disagree"),1,IF(TRIM('Student Raw Data'!Y17)="Disagree",2,IF(OR(TRIM('Student Raw Data'!Y17)="Neutral",TRIM('Student Raw Data'!Y17)="Neither Agree nor Disagree"),3,IF(TRIM('Student Raw Data'!Y17)="Agree",4,IF(OR(TRIM('Student Raw Data'!Y17)="Strongly agree",TRIM('Student Raw Data'!Y17)="Strongly Agree"),5,""))))))</f>
        <v>3</v>
      </c>
      <c r="Z17" s="3">
        <f>IF('Student Raw Data'!Z17="","",IF(OR(TRIM('Student Raw Data'!Z17)="Strongly disagree",TRIM('Student Raw Data'!Z17)="Strongly Disagree"),1,IF(TRIM('Student Raw Data'!Z17)="Disagree",2,IF(OR(TRIM('Student Raw Data'!Z17)="Neutral",TRIM('Student Raw Data'!Z17)="Neither Agree nor Disagree"),3,IF(TRIM('Student Raw Data'!Z17)="Agree",4,IF(OR(TRIM('Student Raw Data'!Z17)="Strongly agree",TRIM('Student Raw Data'!Z17)="Strongly Agree"),5,""))))))</f>
        <v>3</v>
      </c>
      <c r="AA17" s="3">
        <f>'Student Raw Data'!AA17</f>
        <v>2</v>
      </c>
      <c r="AB17" s="3" t="str">
        <f>'Student Raw Data'!AB17</f>
        <v>Disagree</v>
      </c>
      <c r="AC17" s="3" t="str">
        <f>'Student Raw Data'!AC17</f>
        <v>Probably No</v>
      </c>
      <c r="AD17" s="3">
        <f>'Student Raw Data'!AD17</f>
        <v>0</v>
      </c>
      <c r="AE17" s="3">
        <f>'Student Raw Data'!AE17</f>
        <v>0</v>
      </c>
      <c r="AF17" s="3">
        <f>'Student Raw Data'!AF17</f>
        <v>0</v>
      </c>
    </row>
    <row r="18" spans="1:32" ht="16" x14ac:dyDescent="0.2">
      <c r="A18" s="2">
        <f>'Student Raw Data'!A18</f>
        <v>46278.592669108803</v>
      </c>
      <c r="B18" s="3" t="str">
        <f>'Student Raw Data'!B18</f>
        <v>Yes</v>
      </c>
      <c r="C18" s="3" t="str">
        <f>'Student Raw Data'!C18</f>
        <v>PGDM-FM</v>
      </c>
      <c r="D18" s="3" t="str">
        <f>'Student Raw Data'!D18</f>
        <v>Once a week</v>
      </c>
      <c r="E18" s="3" t="str">
        <f>'Student Raw Data'!E18</f>
        <v>More than 1 year</v>
      </c>
      <c r="F18" s="3" t="str">
        <f>'Student Raw Data'!F18</f>
        <v>No specific preference</v>
      </c>
      <c r="G18" s="3">
        <f>IF('Student Raw Data'!G18="","",IF(OR(TRIM('Student Raw Data'!G18)="Strongly disagree",TRIM('Student Raw Data'!G18)="Strongly Disagree"),1,IF(TRIM('Student Raw Data'!G18)="Disagree",2,IF(OR(TRIM('Student Raw Data'!G18)="Neutral",TRIM('Student Raw Data'!G18)="Neither Agree nor Disagree"),3,IF(TRIM('Student Raw Data'!G18)="Agree",4,IF(OR(TRIM('Student Raw Data'!G18)="Strongly agree",TRIM('Student Raw Data'!G18)="Strongly Agree"),5,""))))))</f>
        <v>5</v>
      </c>
      <c r="H18" s="3">
        <f>IF('Student Raw Data'!H18="","",IF(OR(TRIM('Student Raw Data'!H18)="Strongly disagree",TRIM('Student Raw Data'!H18)="Strongly Disagree"),1,IF(TRIM('Student Raw Data'!H18)="Disagree",2,IF(OR(TRIM('Student Raw Data'!H18)="Neutral",TRIM('Student Raw Data'!H18)="Neither Agree nor Disagree"),3,IF(TRIM('Student Raw Data'!H18)="Agree",4,IF(OR(TRIM('Student Raw Data'!H18)="Strongly agree",TRIM('Student Raw Data'!H18)="Strongly Agree"),5,""))))))</f>
        <v>3</v>
      </c>
      <c r="I18" s="3">
        <f>IF('Student Raw Data'!I18="","",IF(OR(TRIM('Student Raw Data'!I18)="Strongly disagree",TRIM('Student Raw Data'!I18)="Strongly Disagree"),1,IF(TRIM('Student Raw Data'!I18)="Disagree",2,IF(OR(TRIM('Student Raw Data'!I18)="Neutral",TRIM('Student Raw Data'!I18)="Neither Agree nor Disagree"),3,IF(TRIM('Student Raw Data'!I18)="Agree",4,IF(OR(TRIM('Student Raw Data'!I18)="Strongly agree",TRIM('Student Raw Data'!I18)="Strongly Agree"),5,""))))))</f>
        <v>5</v>
      </c>
      <c r="J18" s="3">
        <f>IF('Student Raw Data'!J18="","",IF(OR(TRIM('Student Raw Data'!J18)="Strongly disagree",TRIM('Student Raw Data'!J18)="Strongly Disagree"),1,IF(TRIM('Student Raw Data'!J18)="Disagree",2,IF(OR(TRIM('Student Raw Data'!J18)="Neutral",TRIM('Student Raw Data'!J18)="Neither Agree nor Disagree"),3,IF(TRIM('Student Raw Data'!J18)="Agree",4,IF(OR(TRIM('Student Raw Data'!J18)="Strongly agree",TRIM('Student Raw Data'!J18)="Strongly Agree"),5,""))))))</f>
        <v>4</v>
      </c>
      <c r="K18" s="3">
        <f>IF('Student Raw Data'!K18="","",IF(OR(TRIM('Student Raw Data'!K18)="Strongly disagree",TRIM('Student Raw Data'!K18)="Strongly Disagree"),1,IF(TRIM('Student Raw Data'!K18)="Disagree",2,IF(OR(TRIM('Student Raw Data'!K18)="Neutral",TRIM('Student Raw Data'!K18)="Neither Agree nor Disagree"),3,IF(TRIM('Student Raw Data'!K18)="Agree",4,IF(OR(TRIM('Student Raw Data'!K18)="Strongly agree",TRIM('Student Raw Data'!K18)="Strongly Agree"),5,""))))))</f>
        <v>4</v>
      </c>
      <c r="L18" s="3">
        <f>IF('Student Raw Data'!L18="","",IF(OR(TRIM('Student Raw Data'!L18)="Strongly disagree",TRIM('Student Raw Data'!L18)="Strongly Disagree"),1,IF(TRIM('Student Raw Data'!L18)="Disagree",2,IF(OR(TRIM('Student Raw Data'!L18)="Neutral",TRIM('Student Raw Data'!L18)="Neither Agree nor Disagree"),3,IF(TRIM('Student Raw Data'!L18)="Agree",4,IF(OR(TRIM('Student Raw Data'!L18)="Strongly agree",TRIM('Student Raw Data'!L18)="Strongly Agree"),5,""))))))</f>
        <v>4</v>
      </c>
      <c r="M18" s="3">
        <f>IF('Student Raw Data'!M18="","",IF(OR(TRIM('Student Raw Data'!M18)="Strongly disagree",TRIM('Student Raw Data'!M18)="Strongly Disagree"),1,IF(TRIM('Student Raw Data'!M18)="Disagree",2,IF(OR(TRIM('Student Raw Data'!M18)="Neutral",TRIM('Student Raw Data'!M18)="Neither Agree nor Disagree"),3,IF(TRIM('Student Raw Data'!M18)="Agree",4,IF(OR(TRIM('Student Raw Data'!M18)="Strongly agree",TRIM('Student Raw Data'!M18)="Strongly Agree"),5,""))))))</f>
        <v>5</v>
      </c>
      <c r="N18" s="3">
        <f>IF('Student Raw Data'!N18="","",IF(OR(TRIM('Student Raw Data'!N18)="Strongly disagree",TRIM('Student Raw Data'!N18)="Strongly Disagree"),1,IF(TRIM('Student Raw Data'!N18)="Disagree",2,IF(OR(TRIM('Student Raw Data'!N18)="Neutral",TRIM('Student Raw Data'!N18)="Neither Agree nor Disagree"),3,IF(TRIM('Student Raw Data'!N18)="Agree",4,IF(OR(TRIM('Student Raw Data'!N18)="Strongly agree",TRIM('Student Raw Data'!N18)="Strongly Agree"),5,""))))))</f>
        <v>4</v>
      </c>
      <c r="O18" s="3">
        <f>IF('Student Raw Data'!O18="","",IF(OR(TRIM('Student Raw Data'!O18)="Strongly disagree",TRIM('Student Raw Data'!O18)="Strongly Disagree"),1,IF(TRIM('Student Raw Data'!O18)="Disagree",2,IF(OR(TRIM('Student Raw Data'!O18)="Neutral",TRIM('Student Raw Data'!O18)="Neither Agree nor Disagree"),3,IF(TRIM('Student Raw Data'!O18)="Agree",4,IF(OR(TRIM('Student Raw Data'!O18)="Strongly agree",TRIM('Student Raw Data'!O18)="Strongly Agree"),5,""))))))</f>
        <v>4</v>
      </c>
      <c r="P18" s="3">
        <f>IF('Student Raw Data'!P18="","",IF(OR(TRIM('Student Raw Data'!P18)="Strongly disagree",TRIM('Student Raw Data'!P18)="Strongly Disagree"),1,IF(TRIM('Student Raw Data'!P18)="Disagree",2,IF(OR(TRIM('Student Raw Data'!P18)="Neutral",TRIM('Student Raw Data'!P18)="Neither Agree nor Disagree"),3,IF(TRIM('Student Raw Data'!P18)="Agree",4,IF(OR(TRIM('Student Raw Data'!P18)="Strongly agree",TRIM('Student Raw Data'!P18)="Strongly Agree"),5,""))))))</f>
        <v>5</v>
      </c>
      <c r="Q18" s="3">
        <f>IF('Student Raw Data'!Q18="","",IF(OR(TRIM('Student Raw Data'!Q18)="Strongly disagree",TRIM('Student Raw Data'!Q18)="Strongly Disagree"),1,IF(TRIM('Student Raw Data'!Q18)="Disagree",2,IF(OR(TRIM('Student Raw Data'!Q18)="Neutral",TRIM('Student Raw Data'!Q18)="Neither Agree nor Disagree"),3,IF(TRIM('Student Raw Data'!Q18)="Agree",4,IF(OR(TRIM('Student Raw Data'!Q18)="Strongly agree",TRIM('Student Raw Data'!Q18)="Strongly Agree"),5,""))))))</f>
        <v>5</v>
      </c>
      <c r="R18" s="3">
        <f>IF('Student Raw Data'!R18="","",IF(OR(TRIM('Student Raw Data'!R18)="Strongly disagree",TRIM('Student Raw Data'!R18)="Strongly Disagree"),1,IF(TRIM('Student Raw Data'!R18)="Disagree",2,IF(OR(TRIM('Student Raw Data'!R18)="Neutral",TRIM('Student Raw Data'!R18)="Neither Agree nor Disagree"),3,IF(TRIM('Student Raw Data'!R18)="Agree",4,IF(OR(TRIM('Student Raw Data'!R18)="Strongly agree",TRIM('Student Raw Data'!R18)="Strongly Agree"),5,""))))))</f>
        <v>5</v>
      </c>
      <c r="S18" s="3">
        <f>IF('Student Raw Data'!S18="","",IF(OR(TRIM('Student Raw Data'!S18)="Strongly disagree",TRIM('Student Raw Data'!S18)="Strongly Disagree"),1,IF(TRIM('Student Raw Data'!S18)="Disagree",2,IF(OR(TRIM('Student Raw Data'!S18)="Neutral",TRIM('Student Raw Data'!S18)="Neither Agree nor Disagree"),3,IF(TRIM('Student Raw Data'!S18)="Agree",4,IF(OR(TRIM('Student Raw Data'!S18)="Strongly agree",TRIM('Student Raw Data'!S18)="Strongly Agree"),5,""))))))</f>
        <v>5</v>
      </c>
      <c r="T18" s="3">
        <f>IF('Student Raw Data'!T18="","",IF(OR(TRIM('Student Raw Data'!T18)="Strongly disagree",TRIM('Student Raw Data'!T18)="Strongly Disagree"),1,IF(TRIM('Student Raw Data'!T18)="Disagree",2,IF(OR(TRIM('Student Raw Data'!T18)="Neutral",TRIM('Student Raw Data'!T18)="Neither Agree nor Disagree"),3,IF(TRIM('Student Raw Data'!T18)="Agree",4,IF(OR(TRIM('Student Raw Data'!T18)="Strongly agree",TRIM('Student Raw Data'!T18)="Strongly Agree"),5,""))))))</f>
        <v>5</v>
      </c>
      <c r="U18" s="3">
        <f>IF('Student Raw Data'!U18="","",IF(OR(TRIM('Student Raw Data'!U18)="Strongly disagree",TRIM('Student Raw Data'!U18)="Strongly Disagree"),1,IF(TRIM('Student Raw Data'!U18)="Disagree",2,IF(OR(TRIM('Student Raw Data'!U18)="Neutral",TRIM('Student Raw Data'!U18)="Neither Agree nor Disagree"),3,IF(TRIM('Student Raw Data'!U18)="Agree",4,IF(OR(TRIM('Student Raw Data'!U18)="Strongly agree",TRIM('Student Raw Data'!U18)="Strongly Agree"),5,""))))))</f>
        <v>5</v>
      </c>
      <c r="V18" s="3">
        <f>IF('Student Raw Data'!V18="","",IF(OR(TRIM('Student Raw Data'!V18)="Strongly disagree",TRIM('Student Raw Data'!V18)="Strongly Disagree"),1,IF(TRIM('Student Raw Data'!V18)="Disagree",2,IF(OR(TRIM('Student Raw Data'!V18)="Neutral",TRIM('Student Raw Data'!V18)="Neither Agree nor Disagree"),3,IF(TRIM('Student Raw Data'!V18)="Agree",4,IF(OR(TRIM('Student Raw Data'!V18)="Strongly agree",TRIM('Student Raw Data'!V18)="Strongly Agree"),5,""))))))</f>
        <v>5</v>
      </c>
      <c r="W18" s="3">
        <f>IF('Student Raw Data'!W18="","",IF(OR(TRIM('Student Raw Data'!W18)="Strongly disagree",TRIM('Student Raw Data'!W18)="Strongly Disagree"),1,IF(TRIM('Student Raw Data'!W18)="Disagree",2,IF(OR(TRIM('Student Raw Data'!W18)="Neutral",TRIM('Student Raw Data'!W18)="Neither Agree nor Disagree"),3,IF(TRIM('Student Raw Data'!W18)="Agree",4,IF(OR(TRIM('Student Raw Data'!W18)="Strongly agree",TRIM('Student Raw Data'!W18)="Strongly Agree"),5,""))))))</f>
        <v>5</v>
      </c>
      <c r="X18" s="3">
        <f>IF('Student Raw Data'!X18="","",IF(OR(TRIM('Student Raw Data'!X18)="Strongly disagree",TRIM('Student Raw Data'!X18)="Strongly Disagree"),1,IF(TRIM('Student Raw Data'!X18)="Disagree",2,IF(OR(TRIM('Student Raw Data'!X18)="Neutral",TRIM('Student Raw Data'!X18)="Neither Agree nor Disagree"),3,IF(TRIM('Student Raw Data'!X18)="Agree",4,IF(OR(TRIM('Student Raw Data'!X18)="Strongly agree",TRIM('Student Raw Data'!X18)="Strongly Agree"),5,""))))))</f>
        <v>5</v>
      </c>
      <c r="Y18" s="3">
        <f>IF('Student Raw Data'!Y18="","",IF(OR(TRIM('Student Raw Data'!Y18)="Strongly disagree",TRIM('Student Raw Data'!Y18)="Strongly Disagree"),1,IF(TRIM('Student Raw Data'!Y18)="Disagree",2,IF(OR(TRIM('Student Raw Data'!Y18)="Neutral",TRIM('Student Raw Data'!Y18)="Neither Agree nor Disagree"),3,IF(TRIM('Student Raw Data'!Y18)="Agree",4,IF(OR(TRIM('Student Raw Data'!Y18)="Strongly agree",TRIM('Student Raw Data'!Y18)="Strongly Agree"),5,""))))))</f>
        <v>5</v>
      </c>
      <c r="Z18" s="3">
        <f>IF('Student Raw Data'!Z18="","",IF(OR(TRIM('Student Raw Data'!Z18)="Strongly disagree",TRIM('Student Raw Data'!Z18)="Strongly Disagree"),1,IF(TRIM('Student Raw Data'!Z18)="Disagree",2,IF(OR(TRIM('Student Raw Data'!Z18)="Neutral",TRIM('Student Raw Data'!Z18)="Neither Agree nor Disagree"),3,IF(TRIM('Student Raw Data'!Z18)="Agree",4,IF(OR(TRIM('Student Raw Data'!Z18)="Strongly agree",TRIM('Student Raw Data'!Z18)="Strongly Agree"),5,""))))))</f>
        <v>5</v>
      </c>
      <c r="AA18" s="3">
        <f>'Student Raw Data'!AA18</f>
        <v>5</v>
      </c>
      <c r="AB18" s="3">
        <f>'Student Raw Data'!AB18</f>
        <v>0</v>
      </c>
      <c r="AC18" s="3">
        <f>'Student Raw Data'!AC18</f>
        <v>0</v>
      </c>
      <c r="AD18" s="3">
        <f>'Student Raw Data'!AD18</f>
        <v>0</v>
      </c>
      <c r="AE18" s="3">
        <f>'Student Raw Data'!AE18</f>
        <v>0</v>
      </c>
      <c r="AF18" s="3">
        <f>'Student Raw Data'!AF18</f>
        <v>0</v>
      </c>
    </row>
    <row r="19" spans="1:32" ht="48" x14ac:dyDescent="0.2">
      <c r="A19" s="2">
        <f>'Student Raw Data'!A19</f>
        <v>46278.5939531482</v>
      </c>
      <c r="B19" s="3" t="str">
        <f>'Student Raw Data'!B19</f>
        <v>Yes</v>
      </c>
      <c r="C19" s="3" t="str">
        <f>'Student Raw Data'!C19</f>
        <v>PGDM-FM</v>
      </c>
      <c r="D19" s="3" t="str">
        <f>'Student Raw Data'!D19</f>
        <v>Less than once a week</v>
      </c>
      <c r="E19" s="3" t="str">
        <f>'Student Raw Data'!E19</f>
        <v>More than 1 year</v>
      </c>
      <c r="F19" s="3" t="str">
        <f>'Student Raw Data'!F19</f>
        <v>Morning</v>
      </c>
      <c r="G19" s="3">
        <f>IF('Student Raw Data'!G19="","",IF(OR(TRIM('Student Raw Data'!G19)="Strongly disagree",TRIM('Student Raw Data'!G19)="Strongly Disagree"),1,IF(TRIM('Student Raw Data'!G19)="Disagree",2,IF(OR(TRIM('Student Raw Data'!G19)="Neutral",TRIM('Student Raw Data'!G19)="Neither Agree nor Disagree"),3,IF(TRIM('Student Raw Data'!G19)="Agree",4,IF(OR(TRIM('Student Raw Data'!G19)="Strongly agree",TRIM('Student Raw Data'!G19)="Strongly Agree"),5,""))))))</f>
        <v>5</v>
      </c>
      <c r="H19" s="3">
        <f>IF('Student Raw Data'!H19="","",IF(OR(TRIM('Student Raw Data'!H19)="Strongly disagree",TRIM('Student Raw Data'!H19)="Strongly Disagree"),1,IF(TRIM('Student Raw Data'!H19)="Disagree",2,IF(OR(TRIM('Student Raw Data'!H19)="Neutral",TRIM('Student Raw Data'!H19)="Neither Agree nor Disagree"),3,IF(TRIM('Student Raw Data'!H19)="Agree",4,IF(OR(TRIM('Student Raw Data'!H19)="Strongly agree",TRIM('Student Raw Data'!H19)="Strongly Agree"),5,""))))))</f>
        <v>4</v>
      </c>
      <c r="I19" s="3">
        <f>IF('Student Raw Data'!I19="","",IF(OR(TRIM('Student Raw Data'!I19)="Strongly disagree",TRIM('Student Raw Data'!I19)="Strongly Disagree"),1,IF(TRIM('Student Raw Data'!I19)="Disagree",2,IF(OR(TRIM('Student Raw Data'!I19)="Neutral",TRIM('Student Raw Data'!I19)="Neither Agree nor Disagree"),3,IF(TRIM('Student Raw Data'!I19)="Agree",4,IF(OR(TRIM('Student Raw Data'!I19)="Strongly agree",TRIM('Student Raw Data'!I19)="Strongly Agree"),5,""))))))</f>
        <v>5</v>
      </c>
      <c r="J19" s="3">
        <f>IF('Student Raw Data'!J19="","",IF(OR(TRIM('Student Raw Data'!J19)="Strongly disagree",TRIM('Student Raw Data'!J19)="Strongly Disagree"),1,IF(TRIM('Student Raw Data'!J19)="Disagree",2,IF(OR(TRIM('Student Raw Data'!J19)="Neutral",TRIM('Student Raw Data'!J19)="Neither Agree nor Disagree"),3,IF(TRIM('Student Raw Data'!J19)="Agree",4,IF(OR(TRIM('Student Raw Data'!J19)="Strongly agree",TRIM('Student Raw Data'!J19)="Strongly Agree"),5,""))))))</f>
        <v>4</v>
      </c>
      <c r="K19" s="3">
        <f>IF('Student Raw Data'!K19="","",IF(OR(TRIM('Student Raw Data'!K19)="Strongly disagree",TRIM('Student Raw Data'!K19)="Strongly Disagree"),1,IF(TRIM('Student Raw Data'!K19)="Disagree",2,IF(OR(TRIM('Student Raw Data'!K19)="Neutral",TRIM('Student Raw Data'!K19)="Neither Agree nor Disagree"),3,IF(TRIM('Student Raw Data'!K19)="Agree",4,IF(OR(TRIM('Student Raw Data'!K19)="Strongly agree",TRIM('Student Raw Data'!K19)="Strongly Agree"),5,""))))))</f>
        <v>5</v>
      </c>
      <c r="L19" s="3">
        <f>IF('Student Raw Data'!L19="","",IF(OR(TRIM('Student Raw Data'!L19)="Strongly disagree",TRIM('Student Raw Data'!L19)="Strongly Disagree"),1,IF(TRIM('Student Raw Data'!L19)="Disagree",2,IF(OR(TRIM('Student Raw Data'!L19)="Neutral",TRIM('Student Raw Data'!L19)="Neither Agree nor Disagree"),3,IF(TRIM('Student Raw Data'!L19)="Agree",4,IF(OR(TRIM('Student Raw Data'!L19)="Strongly agree",TRIM('Student Raw Data'!L19)="Strongly Agree"),5,""))))))</f>
        <v>5</v>
      </c>
      <c r="M19" s="3">
        <f>IF('Student Raw Data'!M19="","",IF(OR(TRIM('Student Raw Data'!M19)="Strongly disagree",TRIM('Student Raw Data'!M19)="Strongly Disagree"),1,IF(TRIM('Student Raw Data'!M19)="Disagree",2,IF(OR(TRIM('Student Raw Data'!M19)="Neutral",TRIM('Student Raw Data'!M19)="Neither Agree nor Disagree"),3,IF(TRIM('Student Raw Data'!M19)="Agree",4,IF(OR(TRIM('Student Raw Data'!M19)="Strongly agree",TRIM('Student Raw Data'!M19)="Strongly Agree"),5,""))))))</f>
        <v>4</v>
      </c>
      <c r="N19" s="3">
        <f>IF('Student Raw Data'!N19="","",IF(OR(TRIM('Student Raw Data'!N19)="Strongly disagree",TRIM('Student Raw Data'!N19)="Strongly Disagree"),1,IF(TRIM('Student Raw Data'!N19)="Disagree",2,IF(OR(TRIM('Student Raw Data'!N19)="Neutral",TRIM('Student Raw Data'!N19)="Neither Agree nor Disagree"),3,IF(TRIM('Student Raw Data'!N19)="Agree",4,IF(OR(TRIM('Student Raw Data'!N19)="Strongly agree",TRIM('Student Raw Data'!N19)="Strongly Agree"),5,""))))))</f>
        <v>5</v>
      </c>
      <c r="O19" s="3">
        <f>IF('Student Raw Data'!O19="","",IF(OR(TRIM('Student Raw Data'!O19)="Strongly disagree",TRIM('Student Raw Data'!O19)="Strongly Disagree"),1,IF(TRIM('Student Raw Data'!O19)="Disagree",2,IF(OR(TRIM('Student Raw Data'!O19)="Neutral",TRIM('Student Raw Data'!O19)="Neither Agree nor Disagree"),3,IF(TRIM('Student Raw Data'!O19)="Agree",4,IF(OR(TRIM('Student Raw Data'!O19)="Strongly agree",TRIM('Student Raw Data'!O19)="Strongly Agree"),5,""))))))</f>
        <v>5</v>
      </c>
      <c r="P19" s="3">
        <f>IF('Student Raw Data'!P19="","",IF(OR(TRIM('Student Raw Data'!P19)="Strongly disagree",TRIM('Student Raw Data'!P19)="Strongly Disagree"),1,IF(TRIM('Student Raw Data'!P19)="Disagree",2,IF(OR(TRIM('Student Raw Data'!P19)="Neutral",TRIM('Student Raw Data'!P19)="Neither Agree nor Disagree"),3,IF(TRIM('Student Raw Data'!P19)="Agree",4,IF(OR(TRIM('Student Raw Data'!P19)="Strongly agree",TRIM('Student Raw Data'!P19)="Strongly Agree"),5,""))))))</f>
        <v>5</v>
      </c>
      <c r="Q19" s="3">
        <f>IF('Student Raw Data'!Q19="","",IF(OR(TRIM('Student Raw Data'!Q19)="Strongly disagree",TRIM('Student Raw Data'!Q19)="Strongly Disagree"),1,IF(TRIM('Student Raw Data'!Q19)="Disagree",2,IF(OR(TRIM('Student Raw Data'!Q19)="Neutral",TRIM('Student Raw Data'!Q19)="Neither Agree nor Disagree"),3,IF(TRIM('Student Raw Data'!Q19)="Agree",4,IF(OR(TRIM('Student Raw Data'!Q19)="Strongly agree",TRIM('Student Raw Data'!Q19)="Strongly Agree"),5,""))))))</f>
        <v>5</v>
      </c>
      <c r="R19" s="3">
        <f>IF('Student Raw Data'!R19="","",IF(OR(TRIM('Student Raw Data'!R19)="Strongly disagree",TRIM('Student Raw Data'!R19)="Strongly Disagree"),1,IF(TRIM('Student Raw Data'!R19)="Disagree",2,IF(OR(TRIM('Student Raw Data'!R19)="Neutral",TRIM('Student Raw Data'!R19)="Neither Agree nor Disagree"),3,IF(TRIM('Student Raw Data'!R19)="Agree",4,IF(OR(TRIM('Student Raw Data'!R19)="Strongly agree",TRIM('Student Raw Data'!R19)="Strongly Agree"),5,""))))))</f>
        <v>5</v>
      </c>
      <c r="S19" s="3">
        <f>IF('Student Raw Data'!S19="","",IF(OR(TRIM('Student Raw Data'!S19)="Strongly disagree",TRIM('Student Raw Data'!S19)="Strongly Disagree"),1,IF(TRIM('Student Raw Data'!S19)="Disagree",2,IF(OR(TRIM('Student Raw Data'!S19)="Neutral",TRIM('Student Raw Data'!S19)="Neither Agree nor Disagree"),3,IF(TRIM('Student Raw Data'!S19)="Agree",4,IF(OR(TRIM('Student Raw Data'!S19)="Strongly agree",TRIM('Student Raw Data'!S19)="Strongly Agree"),5,""))))))</f>
        <v>5</v>
      </c>
      <c r="T19" s="3">
        <f>IF('Student Raw Data'!T19="","",IF(OR(TRIM('Student Raw Data'!T19)="Strongly disagree",TRIM('Student Raw Data'!T19)="Strongly Disagree"),1,IF(TRIM('Student Raw Data'!T19)="Disagree",2,IF(OR(TRIM('Student Raw Data'!T19)="Neutral",TRIM('Student Raw Data'!T19)="Neither Agree nor Disagree"),3,IF(TRIM('Student Raw Data'!T19)="Agree",4,IF(OR(TRIM('Student Raw Data'!T19)="Strongly agree",TRIM('Student Raw Data'!T19)="Strongly Agree"),5,""))))))</f>
        <v>5</v>
      </c>
      <c r="U19" s="3">
        <f>IF('Student Raw Data'!U19="","",IF(OR(TRIM('Student Raw Data'!U19)="Strongly disagree",TRIM('Student Raw Data'!U19)="Strongly Disagree"),1,IF(TRIM('Student Raw Data'!U19)="Disagree",2,IF(OR(TRIM('Student Raw Data'!U19)="Neutral",TRIM('Student Raw Data'!U19)="Neither Agree nor Disagree"),3,IF(TRIM('Student Raw Data'!U19)="Agree",4,IF(OR(TRIM('Student Raw Data'!U19)="Strongly agree",TRIM('Student Raw Data'!U19)="Strongly Agree"),5,""))))))</f>
        <v>5</v>
      </c>
      <c r="V19" s="3">
        <f>IF('Student Raw Data'!V19="","",IF(OR(TRIM('Student Raw Data'!V19)="Strongly disagree",TRIM('Student Raw Data'!V19)="Strongly Disagree"),1,IF(TRIM('Student Raw Data'!V19)="Disagree",2,IF(OR(TRIM('Student Raw Data'!V19)="Neutral",TRIM('Student Raw Data'!V19)="Neither Agree nor Disagree"),3,IF(TRIM('Student Raw Data'!V19)="Agree",4,IF(OR(TRIM('Student Raw Data'!V19)="Strongly agree",TRIM('Student Raw Data'!V19)="Strongly Agree"),5,""))))))</f>
        <v>5</v>
      </c>
      <c r="W19" s="3">
        <f>IF('Student Raw Data'!W19="","",IF(OR(TRIM('Student Raw Data'!W19)="Strongly disagree",TRIM('Student Raw Data'!W19)="Strongly Disagree"),1,IF(TRIM('Student Raw Data'!W19)="Disagree",2,IF(OR(TRIM('Student Raw Data'!W19)="Neutral",TRIM('Student Raw Data'!W19)="Neither Agree nor Disagree"),3,IF(TRIM('Student Raw Data'!W19)="Agree",4,IF(OR(TRIM('Student Raw Data'!W19)="Strongly agree",TRIM('Student Raw Data'!W19)="Strongly Agree"),5,""))))))</f>
        <v>5</v>
      </c>
      <c r="X19" s="3">
        <f>IF('Student Raw Data'!X19="","",IF(OR(TRIM('Student Raw Data'!X19)="Strongly disagree",TRIM('Student Raw Data'!X19)="Strongly Disagree"),1,IF(TRIM('Student Raw Data'!X19)="Disagree",2,IF(OR(TRIM('Student Raw Data'!X19)="Neutral",TRIM('Student Raw Data'!X19)="Neither Agree nor Disagree"),3,IF(TRIM('Student Raw Data'!X19)="Agree",4,IF(OR(TRIM('Student Raw Data'!X19)="Strongly agree",TRIM('Student Raw Data'!X19)="Strongly Agree"),5,""))))))</f>
        <v>5</v>
      </c>
      <c r="Y19" s="3">
        <f>IF('Student Raw Data'!Y19="","",IF(OR(TRIM('Student Raw Data'!Y19)="Strongly disagree",TRIM('Student Raw Data'!Y19)="Strongly Disagree"),1,IF(TRIM('Student Raw Data'!Y19)="Disagree",2,IF(OR(TRIM('Student Raw Data'!Y19)="Neutral",TRIM('Student Raw Data'!Y19)="Neither Agree nor Disagree"),3,IF(TRIM('Student Raw Data'!Y19)="Agree",4,IF(OR(TRIM('Student Raw Data'!Y19)="Strongly agree",TRIM('Student Raw Data'!Y19)="Strongly Agree"),5,""))))))</f>
        <v>5</v>
      </c>
      <c r="Z19" s="3">
        <f>IF('Student Raw Data'!Z19="","",IF(OR(TRIM('Student Raw Data'!Z19)="Strongly disagree",TRIM('Student Raw Data'!Z19)="Strongly Disagree"),1,IF(TRIM('Student Raw Data'!Z19)="Disagree",2,IF(OR(TRIM('Student Raw Data'!Z19)="Neutral",TRIM('Student Raw Data'!Z19)="Neither Agree nor Disagree"),3,IF(TRIM('Student Raw Data'!Z19)="Agree",4,IF(OR(TRIM('Student Raw Data'!Z19)="Strongly agree",TRIM('Student Raw Data'!Z19)="Strongly Agree"),5,""))))))</f>
        <v>5</v>
      </c>
      <c r="AA19" s="3">
        <f>'Student Raw Data'!AA19</f>
        <v>5</v>
      </c>
      <c r="AB19" s="3" t="str">
        <f>'Student Raw Data'!AB19</f>
        <v>Agree</v>
      </c>
      <c r="AC19" s="3" t="str">
        <f>'Student Raw Data'!AC19</f>
        <v>Probably Yes</v>
      </c>
      <c r="AD19" s="3">
        <f>'Student Raw Data'!AD19</f>
        <v>0</v>
      </c>
      <c r="AE19" s="3">
        <f>'Student Raw Data'!AE19</f>
        <v>0</v>
      </c>
      <c r="AF19" s="3" t="str">
        <f>'Student Raw Data'!AF19</f>
        <v>After working out at the gym, there should be a small shower room nearby so that students can freshen up before going to class and avoid feeling or smelling sweaty.</v>
      </c>
    </row>
    <row r="20" spans="1:32" ht="16" x14ac:dyDescent="0.2">
      <c r="A20" s="2">
        <f>'Student Raw Data'!A20</f>
        <v>46278.599448437497</v>
      </c>
      <c r="B20" s="3" t="str">
        <f>'Student Raw Data'!B20</f>
        <v>Yes</v>
      </c>
      <c r="C20" s="3" t="str">
        <f>'Student Raw Data'!C20</f>
        <v>PGDM</v>
      </c>
      <c r="D20" s="3" t="str">
        <f>'Student Raw Data'!D20</f>
        <v>Less than once a week</v>
      </c>
      <c r="E20" s="3" t="str">
        <f>'Student Raw Data'!E20</f>
        <v>More than 1 year</v>
      </c>
      <c r="F20" s="3" t="str">
        <f>'Student Raw Data'!F20</f>
        <v>Evening</v>
      </c>
      <c r="G20" s="3">
        <f>IF('Student Raw Data'!G20="","",IF(OR(TRIM('Student Raw Data'!G20)="Strongly disagree",TRIM('Student Raw Data'!G20)="Strongly Disagree"),1,IF(TRIM('Student Raw Data'!G20)="Disagree",2,IF(OR(TRIM('Student Raw Data'!G20)="Neutral",TRIM('Student Raw Data'!G20)="Neither Agree nor Disagree"),3,IF(TRIM('Student Raw Data'!G20)="Agree",4,IF(OR(TRIM('Student Raw Data'!G20)="Strongly agree",TRIM('Student Raw Data'!G20)="Strongly Agree"),5,""))))))</f>
        <v>3</v>
      </c>
      <c r="H20" s="3">
        <f>IF('Student Raw Data'!H20="","",IF(OR(TRIM('Student Raw Data'!H20)="Strongly disagree",TRIM('Student Raw Data'!H20)="Strongly Disagree"),1,IF(TRIM('Student Raw Data'!H20)="Disagree",2,IF(OR(TRIM('Student Raw Data'!H20)="Neutral",TRIM('Student Raw Data'!H20)="Neither Agree nor Disagree"),3,IF(TRIM('Student Raw Data'!H20)="Agree",4,IF(OR(TRIM('Student Raw Data'!H20)="Strongly agree",TRIM('Student Raw Data'!H20)="Strongly Agree"),5,""))))))</f>
        <v>3</v>
      </c>
      <c r="I20" s="3">
        <f>IF('Student Raw Data'!I20="","",IF(OR(TRIM('Student Raw Data'!I20)="Strongly disagree",TRIM('Student Raw Data'!I20)="Strongly Disagree"),1,IF(TRIM('Student Raw Data'!I20)="Disagree",2,IF(OR(TRIM('Student Raw Data'!I20)="Neutral",TRIM('Student Raw Data'!I20)="Neither Agree nor Disagree"),3,IF(TRIM('Student Raw Data'!I20)="Agree",4,IF(OR(TRIM('Student Raw Data'!I20)="Strongly agree",TRIM('Student Raw Data'!I20)="Strongly Agree"),5,""))))))</f>
        <v>3</v>
      </c>
      <c r="J20" s="3">
        <f>IF('Student Raw Data'!J20="","",IF(OR(TRIM('Student Raw Data'!J20)="Strongly disagree",TRIM('Student Raw Data'!J20)="Strongly Disagree"),1,IF(TRIM('Student Raw Data'!J20)="Disagree",2,IF(OR(TRIM('Student Raw Data'!J20)="Neutral",TRIM('Student Raw Data'!J20)="Neither Agree nor Disagree"),3,IF(TRIM('Student Raw Data'!J20)="Agree",4,IF(OR(TRIM('Student Raw Data'!J20)="Strongly agree",TRIM('Student Raw Data'!J20)="Strongly Agree"),5,""))))))</f>
        <v>3</v>
      </c>
      <c r="K20" s="3">
        <f>IF('Student Raw Data'!K20="","",IF(OR(TRIM('Student Raw Data'!K20)="Strongly disagree",TRIM('Student Raw Data'!K20)="Strongly Disagree"),1,IF(TRIM('Student Raw Data'!K20)="Disagree",2,IF(OR(TRIM('Student Raw Data'!K20)="Neutral",TRIM('Student Raw Data'!K20)="Neither Agree nor Disagree"),3,IF(TRIM('Student Raw Data'!K20)="Agree",4,IF(OR(TRIM('Student Raw Data'!K20)="Strongly agree",TRIM('Student Raw Data'!K20)="Strongly Agree"),5,""))))))</f>
        <v>3</v>
      </c>
      <c r="L20" s="3">
        <f>IF('Student Raw Data'!L20="","",IF(OR(TRIM('Student Raw Data'!L20)="Strongly disagree",TRIM('Student Raw Data'!L20)="Strongly Disagree"),1,IF(TRIM('Student Raw Data'!L20)="Disagree",2,IF(OR(TRIM('Student Raw Data'!L20)="Neutral",TRIM('Student Raw Data'!L20)="Neither Agree nor Disagree"),3,IF(TRIM('Student Raw Data'!L20)="Agree",4,IF(OR(TRIM('Student Raw Data'!L20)="Strongly agree",TRIM('Student Raw Data'!L20)="Strongly Agree"),5,""))))))</f>
        <v>3</v>
      </c>
      <c r="M20" s="3">
        <f>IF('Student Raw Data'!M20="","",IF(OR(TRIM('Student Raw Data'!M20)="Strongly disagree",TRIM('Student Raw Data'!M20)="Strongly Disagree"),1,IF(TRIM('Student Raw Data'!M20)="Disagree",2,IF(OR(TRIM('Student Raw Data'!M20)="Neutral",TRIM('Student Raw Data'!M20)="Neither Agree nor Disagree"),3,IF(TRIM('Student Raw Data'!M20)="Agree",4,IF(OR(TRIM('Student Raw Data'!M20)="Strongly agree",TRIM('Student Raw Data'!M20)="Strongly Agree"),5,""))))))</f>
        <v>3</v>
      </c>
      <c r="N20" s="3">
        <f>IF('Student Raw Data'!N20="","",IF(OR(TRIM('Student Raw Data'!N20)="Strongly disagree",TRIM('Student Raw Data'!N20)="Strongly Disagree"),1,IF(TRIM('Student Raw Data'!N20)="Disagree",2,IF(OR(TRIM('Student Raw Data'!N20)="Neutral",TRIM('Student Raw Data'!N20)="Neither Agree nor Disagree"),3,IF(TRIM('Student Raw Data'!N20)="Agree",4,IF(OR(TRIM('Student Raw Data'!N20)="Strongly agree",TRIM('Student Raw Data'!N20)="Strongly Agree"),5,""))))))</f>
        <v>3</v>
      </c>
      <c r="O20" s="3">
        <f>IF('Student Raw Data'!O20="","",IF(OR(TRIM('Student Raw Data'!O20)="Strongly disagree",TRIM('Student Raw Data'!O20)="Strongly Disagree"),1,IF(TRIM('Student Raw Data'!O20)="Disagree",2,IF(OR(TRIM('Student Raw Data'!O20)="Neutral",TRIM('Student Raw Data'!O20)="Neither Agree nor Disagree"),3,IF(TRIM('Student Raw Data'!O20)="Agree",4,IF(OR(TRIM('Student Raw Data'!O20)="Strongly agree",TRIM('Student Raw Data'!O20)="Strongly Agree"),5,""))))))</f>
        <v>3</v>
      </c>
      <c r="P20" s="3">
        <f>IF('Student Raw Data'!P20="","",IF(OR(TRIM('Student Raw Data'!P20)="Strongly disagree",TRIM('Student Raw Data'!P20)="Strongly Disagree"),1,IF(TRIM('Student Raw Data'!P20)="Disagree",2,IF(OR(TRIM('Student Raw Data'!P20)="Neutral",TRIM('Student Raw Data'!P20)="Neither Agree nor Disagree"),3,IF(TRIM('Student Raw Data'!P20)="Agree",4,IF(OR(TRIM('Student Raw Data'!P20)="Strongly agree",TRIM('Student Raw Data'!P20)="Strongly Agree"),5,""))))))</f>
        <v>3</v>
      </c>
      <c r="Q20" s="3">
        <f>IF('Student Raw Data'!Q20="","",IF(OR(TRIM('Student Raw Data'!Q20)="Strongly disagree",TRIM('Student Raw Data'!Q20)="Strongly Disagree"),1,IF(TRIM('Student Raw Data'!Q20)="Disagree",2,IF(OR(TRIM('Student Raw Data'!Q20)="Neutral",TRIM('Student Raw Data'!Q20)="Neither Agree nor Disagree"),3,IF(TRIM('Student Raw Data'!Q20)="Agree",4,IF(OR(TRIM('Student Raw Data'!Q20)="Strongly agree",TRIM('Student Raw Data'!Q20)="Strongly Agree"),5,""))))))</f>
        <v>3</v>
      </c>
      <c r="R20" s="3">
        <f>IF('Student Raw Data'!R20="","",IF(OR(TRIM('Student Raw Data'!R20)="Strongly disagree",TRIM('Student Raw Data'!R20)="Strongly Disagree"),1,IF(TRIM('Student Raw Data'!R20)="Disagree",2,IF(OR(TRIM('Student Raw Data'!R20)="Neutral",TRIM('Student Raw Data'!R20)="Neither Agree nor Disagree"),3,IF(TRIM('Student Raw Data'!R20)="Agree",4,IF(OR(TRIM('Student Raw Data'!R20)="Strongly agree",TRIM('Student Raw Data'!R20)="Strongly Agree"),5,""))))))</f>
        <v>3</v>
      </c>
      <c r="S20" s="3">
        <f>IF('Student Raw Data'!S20="","",IF(OR(TRIM('Student Raw Data'!S20)="Strongly disagree",TRIM('Student Raw Data'!S20)="Strongly Disagree"),1,IF(TRIM('Student Raw Data'!S20)="Disagree",2,IF(OR(TRIM('Student Raw Data'!S20)="Neutral",TRIM('Student Raw Data'!S20)="Neither Agree nor Disagree"),3,IF(TRIM('Student Raw Data'!S20)="Agree",4,IF(OR(TRIM('Student Raw Data'!S20)="Strongly agree",TRIM('Student Raw Data'!S20)="Strongly Agree"),5,""))))))</f>
        <v>3</v>
      </c>
      <c r="T20" s="3">
        <f>IF('Student Raw Data'!T20="","",IF(OR(TRIM('Student Raw Data'!T20)="Strongly disagree",TRIM('Student Raw Data'!T20)="Strongly Disagree"),1,IF(TRIM('Student Raw Data'!T20)="Disagree",2,IF(OR(TRIM('Student Raw Data'!T20)="Neutral",TRIM('Student Raw Data'!T20)="Neither Agree nor Disagree"),3,IF(TRIM('Student Raw Data'!T20)="Agree",4,IF(OR(TRIM('Student Raw Data'!T20)="Strongly agree",TRIM('Student Raw Data'!T20)="Strongly Agree"),5,""))))))</f>
        <v>3</v>
      </c>
      <c r="U20" s="3">
        <f>IF('Student Raw Data'!U20="","",IF(OR(TRIM('Student Raw Data'!U20)="Strongly disagree",TRIM('Student Raw Data'!U20)="Strongly Disagree"),1,IF(TRIM('Student Raw Data'!U20)="Disagree",2,IF(OR(TRIM('Student Raw Data'!U20)="Neutral",TRIM('Student Raw Data'!U20)="Neither Agree nor Disagree"),3,IF(TRIM('Student Raw Data'!U20)="Agree",4,IF(OR(TRIM('Student Raw Data'!U20)="Strongly agree",TRIM('Student Raw Data'!U20)="Strongly Agree"),5,""))))))</f>
        <v>3</v>
      </c>
      <c r="V20" s="3">
        <f>IF('Student Raw Data'!V20="","",IF(OR(TRIM('Student Raw Data'!V20)="Strongly disagree",TRIM('Student Raw Data'!V20)="Strongly Disagree"),1,IF(TRIM('Student Raw Data'!V20)="Disagree",2,IF(OR(TRIM('Student Raw Data'!V20)="Neutral",TRIM('Student Raw Data'!V20)="Neither Agree nor Disagree"),3,IF(TRIM('Student Raw Data'!V20)="Agree",4,IF(OR(TRIM('Student Raw Data'!V20)="Strongly agree",TRIM('Student Raw Data'!V20)="Strongly Agree"),5,""))))))</f>
        <v>3</v>
      </c>
      <c r="W20" s="3">
        <f>IF('Student Raw Data'!W20="","",IF(OR(TRIM('Student Raw Data'!W20)="Strongly disagree",TRIM('Student Raw Data'!W20)="Strongly Disagree"),1,IF(TRIM('Student Raw Data'!W20)="Disagree",2,IF(OR(TRIM('Student Raw Data'!W20)="Neutral",TRIM('Student Raw Data'!W20)="Neither Agree nor Disagree"),3,IF(TRIM('Student Raw Data'!W20)="Agree",4,IF(OR(TRIM('Student Raw Data'!W20)="Strongly agree",TRIM('Student Raw Data'!W20)="Strongly Agree"),5,""))))))</f>
        <v>3</v>
      </c>
      <c r="X20" s="3">
        <f>IF('Student Raw Data'!X20="","",IF(OR(TRIM('Student Raw Data'!X20)="Strongly disagree",TRIM('Student Raw Data'!X20)="Strongly Disagree"),1,IF(TRIM('Student Raw Data'!X20)="Disagree",2,IF(OR(TRIM('Student Raw Data'!X20)="Neutral",TRIM('Student Raw Data'!X20)="Neither Agree nor Disagree"),3,IF(TRIM('Student Raw Data'!X20)="Agree",4,IF(OR(TRIM('Student Raw Data'!X20)="Strongly agree",TRIM('Student Raw Data'!X20)="Strongly Agree"),5,""))))))</f>
        <v>3</v>
      </c>
      <c r="Y20" s="3">
        <f>IF('Student Raw Data'!Y20="","",IF(OR(TRIM('Student Raw Data'!Y20)="Strongly disagree",TRIM('Student Raw Data'!Y20)="Strongly Disagree"),1,IF(TRIM('Student Raw Data'!Y20)="Disagree",2,IF(OR(TRIM('Student Raw Data'!Y20)="Neutral",TRIM('Student Raw Data'!Y20)="Neither Agree nor Disagree"),3,IF(TRIM('Student Raw Data'!Y20)="Agree",4,IF(OR(TRIM('Student Raw Data'!Y20)="Strongly agree",TRIM('Student Raw Data'!Y20)="Strongly Agree"),5,""))))))</f>
        <v>3</v>
      </c>
      <c r="Z20" s="3">
        <f>IF('Student Raw Data'!Z20="","",IF(OR(TRIM('Student Raw Data'!Z20)="Strongly disagree",TRIM('Student Raw Data'!Z20)="Strongly Disagree"),1,IF(TRIM('Student Raw Data'!Z20)="Disagree",2,IF(OR(TRIM('Student Raw Data'!Z20)="Neutral",TRIM('Student Raw Data'!Z20)="Neither Agree nor Disagree"),3,IF(TRIM('Student Raw Data'!Z20)="Agree",4,IF(OR(TRIM('Student Raw Data'!Z20)="Strongly agree",TRIM('Student Raw Data'!Z20)="Strongly Agree"),5,""))))))</f>
        <v>3</v>
      </c>
      <c r="AA20" s="3">
        <f>'Student Raw Data'!AA20</f>
        <v>3</v>
      </c>
      <c r="AB20" s="3" t="str">
        <f>'Student Raw Data'!AB20</f>
        <v>Neutral</v>
      </c>
      <c r="AC20" s="3" t="str">
        <f>'Student Raw Data'!AC20</f>
        <v>Not Sure</v>
      </c>
      <c r="AD20" s="3" t="str">
        <f>'Student Raw Data'!AD20</f>
        <v>No</v>
      </c>
      <c r="AE20" s="3" t="str">
        <f>'Student Raw Data'!AE20</f>
        <v>No</v>
      </c>
      <c r="AF20" s="3" t="str">
        <f>'Student Raw Data'!AF20</f>
        <v>No</v>
      </c>
    </row>
    <row r="21" spans="1:32" ht="16" x14ac:dyDescent="0.2">
      <c r="A21" s="2">
        <f>'Student Raw Data'!A21</f>
        <v>46278.606482638897</v>
      </c>
      <c r="B21" s="3" t="str">
        <f>'Student Raw Data'!B21</f>
        <v>Yes</v>
      </c>
      <c r="C21" s="3" t="str">
        <f>'Student Raw Data'!C21</f>
        <v>PGDM</v>
      </c>
      <c r="D21" s="3" t="str">
        <f>'Student Raw Data'!D21</f>
        <v>Less than once a week</v>
      </c>
      <c r="E21" s="3" t="str">
        <f>'Student Raw Data'!E21</f>
        <v>More than 1 year</v>
      </c>
      <c r="F21" s="3" t="str">
        <f>'Student Raw Data'!F21</f>
        <v>No specific preference</v>
      </c>
      <c r="G21" s="3">
        <f>IF('Student Raw Data'!G21="","",IF(OR(TRIM('Student Raw Data'!G21)="Strongly disagree",TRIM('Student Raw Data'!G21)="Strongly Disagree"),1,IF(TRIM('Student Raw Data'!G21)="Disagree",2,IF(OR(TRIM('Student Raw Data'!G21)="Neutral",TRIM('Student Raw Data'!G21)="Neither Agree nor Disagree"),3,IF(TRIM('Student Raw Data'!G21)="Agree",4,IF(OR(TRIM('Student Raw Data'!G21)="Strongly agree",TRIM('Student Raw Data'!G21)="Strongly Agree"),5,""))))))</f>
        <v>5</v>
      </c>
      <c r="H21" s="3">
        <f>IF('Student Raw Data'!H21="","",IF(OR(TRIM('Student Raw Data'!H21)="Strongly disagree",TRIM('Student Raw Data'!H21)="Strongly Disagree"),1,IF(TRIM('Student Raw Data'!H21)="Disagree",2,IF(OR(TRIM('Student Raw Data'!H21)="Neutral",TRIM('Student Raw Data'!H21)="Neither Agree nor Disagree"),3,IF(TRIM('Student Raw Data'!H21)="Agree",4,IF(OR(TRIM('Student Raw Data'!H21)="Strongly agree",TRIM('Student Raw Data'!H21)="Strongly Agree"),5,""))))))</f>
        <v>3</v>
      </c>
      <c r="I21" s="3">
        <f>IF('Student Raw Data'!I21="","",IF(OR(TRIM('Student Raw Data'!I21)="Strongly disagree",TRIM('Student Raw Data'!I21)="Strongly Disagree"),1,IF(TRIM('Student Raw Data'!I21)="Disagree",2,IF(OR(TRIM('Student Raw Data'!I21)="Neutral",TRIM('Student Raw Data'!I21)="Neither Agree nor Disagree"),3,IF(TRIM('Student Raw Data'!I21)="Agree",4,IF(OR(TRIM('Student Raw Data'!I21)="Strongly agree",TRIM('Student Raw Data'!I21)="Strongly Agree"),5,""))))))</f>
        <v>5</v>
      </c>
      <c r="J21" s="3">
        <f>IF('Student Raw Data'!J21="","",IF(OR(TRIM('Student Raw Data'!J21)="Strongly disagree",TRIM('Student Raw Data'!J21)="Strongly Disagree"),1,IF(TRIM('Student Raw Data'!J21)="Disagree",2,IF(OR(TRIM('Student Raw Data'!J21)="Neutral",TRIM('Student Raw Data'!J21)="Neither Agree nor Disagree"),3,IF(TRIM('Student Raw Data'!J21)="Agree",4,IF(OR(TRIM('Student Raw Data'!J21)="Strongly agree",TRIM('Student Raw Data'!J21)="Strongly Agree"),5,""))))))</f>
        <v>5</v>
      </c>
      <c r="K21" s="3">
        <f>IF('Student Raw Data'!K21="","",IF(OR(TRIM('Student Raw Data'!K21)="Strongly disagree",TRIM('Student Raw Data'!K21)="Strongly Disagree"),1,IF(TRIM('Student Raw Data'!K21)="Disagree",2,IF(OR(TRIM('Student Raw Data'!K21)="Neutral",TRIM('Student Raw Data'!K21)="Neither Agree nor Disagree"),3,IF(TRIM('Student Raw Data'!K21)="Agree",4,IF(OR(TRIM('Student Raw Data'!K21)="Strongly agree",TRIM('Student Raw Data'!K21)="Strongly Agree"),5,""))))))</f>
        <v>4</v>
      </c>
      <c r="L21" s="3">
        <f>IF('Student Raw Data'!L21="","",IF(OR(TRIM('Student Raw Data'!L21)="Strongly disagree",TRIM('Student Raw Data'!L21)="Strongly Disagree"),1,IF(TRIM('Student Raw Data'!L21)="Disagree",2,IF(OR(TRIM('Student Raw Data'!L21)="Neutral",TRIM('Student Raw Data'!L21)="Neither Agree nor Disagree"),3,IF(TRIM('Student Raw Data'!L21)="Agree",4,IF(OR(TRIM('Student Raw Data'!L21)="Strongly agree",TRIM('Student Raw Data'!L21)="Strongly Agree"),5,""))))))</f>
        <v>4</v>
      </c>
      <c r="M21" s="3">
        <f>IF('Student Raw Data'!M21="","",IF(OR(TRIM('Student Raw Data'!M21)="Strongly disagree",TRIM('Student Raw Data'!M21)="Strongly Disagree"),1,IF(TRIM('Student Raw Data'!M21)="Disagree",2,IF(OR(TRIM('Student Raw Data'!M21)="Neutral",TRIM('Student Raw Data'!M21)="Neither Agree nor Disagree"),3,IF(TRIM('Student Raw Data'!M21)="Agree",4,IF(OR(TRIM('Student Raw Data'!M21)="Strongly agree",TRIM('Student Raw Data'!M21)="Strongly Agree"),5,""))))))</f>
        <v>3</v>
      </c>
      <c r="N21" s="3">
        <f>IF('Student Raw Data'!N21="","",IF(OR(TRIM('Student Raw Data'!N21)="Strongly disagree",TRIM('Student Raw Data'!N21)="Strongly Disagree"),1,IF(TRIM('Student Raw Data'!N21)="Disagree",2,IF(OR(TRIM('Student Raw Data'!N21)="Neutral",TRIM('Student Raw Data'!N21)="Neither Agree nor Disagree"),3,IF(TRIM('Student Raw Data'!N21)="Agree",4,IF(OR(TRIM('Student Raw Data'!N21)="Strongly agree",TRIM('Student Raw Data'!N21)="Strongly Agree"),5,""))))))</f>
        <v>3</v>
      </c>
      <c r="O21" s="3">
        <f>IF('Student Raw Data'!O21="","",IF(OR(TRIM('Student Raw Data'!O21)="Strongly disagree",TRIM('Student Raw Data'!O21)="Strongly Disagree"),1,IF(TRIM('Student Raw Data'!O21)="Disagree",2,IF(OR(TRIM('Student Raw Data'!O21)="Neutral",TRIM('Student Raw Data'!O21)="Neither Agree nor Disagree"),3,IF(TRIM('Student Raw Data'!O21)="Agree",4,IF(OR(TRIM('Student Raw Data'!O21)="Strongly agree",TRIM('Student Raw Data'!O21)="Strongly Agree"),5,""))))))</f>
        <v>4</v>
      </c>
      <c r="P21" s="3">
        <f>IF('Student Raw Data'!P21="","",IF(OR(TRIM('Student Raw Data'!P21)="Strongly disagree",TRIM('Student Raw Data'!P21)="Strongly Disagree"),1,IF(TRIM('Student Raw Data'!P21)="Disagree",2,IF(OR(TRIM('Student Raw Data'!P21)="Neutral",TRIM('Student Raw Data'!P21)="Neither Agree nor Disagree"),3,IF(TRIM('Student Raw Data'!P21)="Agree",4,IF(OR(TRIM('Student Raw Data'!P21)="Strongly agree",TRIM('Student Raw Data'!P21)="Strongly Agree"),5,""))))))</f>
        <v>5</v>
      </c>
      <c r="Q21" s="3">
        <f>IF('Student Raw Data'!Q21="","",IF(OR(TRIM('Student Raw Data'!Q21)="Strongly disagree",TRIM('Student Raw Data'!Q21)="Strongly Disagree"),1,IF(TRIM('Student Raw Data'!Q21)="Disagree",2,IF(OR(TRIM('Student Raw Data'!Q21)="Neutral",TRIM('Student Raw Data'!Q21)="Neither Agree nor Disagree"),3,IF(TRIM('Student Raw Data'!Q21)="Agree",4,IF(OR(TRIM('Student Raw Data'!Q21)="Strongly agree",TRIM('Student Raw Data'!Q21)="Strongly Agree"),5,""))))))</f>
        <v>5</v>
      </c>
      <c r="R21" s="3">
        <f>IF('Student Raw Data'!R21="","",IF(OR(TRIM('Student Raw Data'!R21)="Strongly disagree",TRIM('Student Raw Data'!R21)="Strongly Disagree"),1,IF(TRIM('Student Raw Data'!R21)="Disagree",2,IF(OR(TRIM('Student Raw Data'!R21)="Neutral",TRIM('Student Raw Data'!R21)="Neither Agree nor Disagree"),3,IF(TRIM('Student Raw Data'!R21)="Agree",4,IF(OR(TRIM('Student Raw Data'!R21)="Strongly agree",TRIM('Student Raw Data'!R21)="Strongly Agree"),5,""))))))</f>
        <v>5</v>
      </c>
      <c r="S21" s="3">
        <f>IF('Student Raw Data'!S21="","",IF(OR(TRIM('Student Raw Data'!S21)="Strongly disagree",TRIM('Student Raw Data'!S21)="Strongly Disagree"),1,IF(TRIM('Student Raw Data'!S21)="Disagree",2,IF(OR(TRIM('Student Raw Data'!S21)="Neutral",TRIM('Student Raw Data'!S21)="Neither Agree nor Disagree"),3,IF(TRIM('Student Raw Data'!S21)="Agree",4,IF(OR(TRIM('Student Raw Data'!S21)="Strongly agree",TRIM('Student Raw Data'!S21)="Strongly Agree"),5,""))))))</f>
        <v>5</v>
      </c>
      <c r="T21" s="3">
        <f>IF('Student Raw Data'!T21="","",IF(OR(TRIM('Student Raw Data'!T21)="Strongly disagree",TRIM('Student Raw Data'!T21)="Strongly Disagree"),1,IF(TRIM('Student Raw Data'!T21)="Disagree",2,IF(OR(TRIM('Student Raw Data'!T21)="Neutral",TRIM('Student Raw Data'!T21)="Neither Agree nor Disagree"),3,IF(TRIM('Student Raw Data'!T21)="Agree",4,IF(OR(TRIM('Student Raw Data'!T21)="Strongly agree",TRIM('Student Raw Data'!T21)="Strongly Agree"),5,""))))))</f>
        <v>5</v>
      </c>
      <c r="U21" s="3">
        <f>IF('Student Raw Data'!U21="","",IF(OR(TRIM('Student Raw Data'!U21)="Strongly disagree",TRIM('Student Raw Data'!U21)="Strongly Disagree"),1,IF(TRIM('Student Raw Data'!U21)="Disagree",2,IF(OR(TRIM('Student Raw Data'!U21)="Neutral",TRIM('Student Raw Data'!U21)="Neither Agree nor Disagree"),3,IF(TRIM('Student Raw Data'!U21)="Agree",4,IF(OR(TRIM('Student Raw Data'!U21)="Strongly agree",TRIM('Student Raw Data'!U21)="Strongly Agree"),5,""))))))</f>
        <v>5</v>
      </c>
      <c r="V21" s="3">
        <f>IF('Student Raw Data'!V21="","",IF(OR(TRIM('Student Raw Data'!V21)="Strongly disagree",TRIM('Student Raw Data'!V21)="Strongly Disagree"),1,IF(TRIM('Student Raw Data'!V21)="Disagree",2,IF(OR(TRIM('Student Raw Data'!V21)="Neutral",TRIM('Student Raw Data'!V21)="Neither Agree nor Disagree"),3,IF(TRIM('Student Raw Data'!V21)="Agree",4,IF(OR(TRIM('Student Raw Data'!V21)="Strongly agree",TRIM('Student Raw Data'!V21)="Strongly Agree"),5,""))))))</f>
        <v>5</v>
      </c>
      <c r="W21" s="3">
        <f>IF('Student Raw Data'!W21="","",IF(OR(TRIM('Student Raw Data'!W21)="Strongly disagree",TRIM('Student Raw Data'!W21)="Strongly Disagree"),1,IF(TRIM('Student Raw Data'!W21)="Disagree",2,IF(OR(TRIM('Student Raw Data'!W21)="Neutral",TRIM('Student Raw Data'!W21)="Neither Agree nor Disagree"),3,IF(TRIM('Student Raw Data'!W21)="Agree",4,IF(OR(TRIM('Student Raw Data'!W21)="Strongly agree",TRIM('Student Raw Data'!W21)="Strongly Agree"),5,""))))))</f>
        <v>5</v>
      </c>
      <c r="X21" s="3">
        <f>IF('Student Raw Data'!X21="","",IF(OR(TRIM('Student Raw Data'!X21)="Strongly disagree",TRIM('Student Raw Data'!X21)="Strongly Disagree"),1,IF(TRIM('Student Raw Data'!X21)="Disagree",2,IF(OR(TRIM('Student Raw Data'!X21)="Neutral",TRIM('Student Raw Data'!X21)="Neither Agree nor Disagree"),3,IF(TRIM('Student Raw Data'!X21)="Agree",4,IF(OR(TRIM('Student Raw Data'!X21)="Strongly agree",TRIM('Student Raw Data'!X21)="Strongly Agree"),5,""))))))</f>
        <v>5</v>
      </c>
      <c r="Y21" s="3">
        <f>IF('Student Raw Data'!Y21="","",IF(OR(TRIM('Student Raw Data'!Y21)="Strongly disagree",TRIM('Student Raw Data'!Y21)="Strongly Disagree"),1,IF(TRIM('Student Raw Data'!Y21)="Disagree",2,IF(OR(TRIM('Student Raw Data'!Y21)="Neutral",TRIM('Student Raw Data'!Y21)="Neither Agree nor Disagree"),3,IF(TRIM('Student Raw Data'!Y21)="Agree",4,IF(OR(TRIM('Student Raw Data'!Y21)="Strongly agree",TRIM('Student Raw Data'!Y21)="Strongly Agree"),5,""))))))</f>
        <v>5</v>
      </c>
      <c r="Z21" s="3">
        <f>IF('Student Raw Data'!Z21="","",IF(OR(TRIM('Student Raw Data'!Z21)="Strongly disagree",TRIM('Student Raw Data'!Z21)="Strongly Disagree"),1,IF(TRIM('Student Raw Data'!Z21)="Disagree",2,IF(OR(TRIM('Student Raw Data'!Z21)="Neutral",TRIM('Student Raw Data'!Z21)="Neither Agree nor Disagree"),3,IF(TRIM('Student Raw Data'!Z21)="Agree",4,IF(OR(TRIM('Student Raw Data'!Z21)="Strongly agree",TRIM('Student Raw Data'!Z21)="Strongly Agree"),5,""))))))</f>
        <v>5</v>
      </c>
      <c r="AA21" s="3">
        <f>'Student Raw Data'!AA21</f>
        <v>5</v>
      </c>
      <c r="AB21" s="3" t="str">
        <f>'Student Raw Data'!AB21</f>
        <v>Neutral</v>
      </c>
      <c r="AC21" s="3" t="str">
        <f>'Student Raw Data'!AC21</f>
        <v>Probably Yes</v>
      </c>
      <c r="AD21" s="3">
        <f>'Student Raw Data'!AD21</f>
        <v>0</v>
      </c>
      <c r="AE21" s="3">
        <f>'Student Raw Data'!AE21</f>
        <v>0</v>
      </c>
      <c r="AF21" s="3">
        <f>'Student Raw Data'!AF21</f>
        <v>0</v>
      </c>
    </row>
    <row r="22" spans="1:32" ht="16" x14ac:dyDescent="0.2">
      <c r="A22" s="2">
        <f>'Student Raw Data'!A22</f>
        <v>46278.642587754599</v>
      </c>
      <c r="B22" s="3" t="str">
        <f>'Student Raw Data'!B22</f>
        <v>Yes</v>
      </c>
      <c r="C22" s="3" t="str">
        <f>'Student Raw Data'!C22</f>
        <v>PGDM-FM</v>
      </c>
      <c r="D22" s="3" t="str">
        <f>'Student Raw Data'!D22</f>
        <v>Daily</v>
      </c>
      <c r="E22" s="3" t="str">
        <f>'Student Raw Data'!E22</f>
        <v>6–12 months</v>
      </c>
      <c r="F22" s="3" t="str">
        <f>'Student Raw Data'!F22</f>
        <v>Evening</v>
      </c>
      <c r="G22" s="3">
        <f>IF('Student Raw Data'!G22="","",IF(OR(TRIM('Student Raw Data'!G22)="Strongly disagree",TRIM('Student Raw Data'!G22)="Strongly Disagree"),1,IF(TRIM('Student Raw Data'!G22)="Disagree",2,IF(OR(TRIM('Student Raw Data'!G22)="Neutral",TRIM('Student Raw Data'!G22)="Neither Agree nor Disagree"),3,IF(TRIM('Student Raw Data'!G22)="Agree",4,IF(OR(TRIM('Student Raw Data'!G22)="Strongly agree",TRIM('Student Raw Data'!G22)="Strongly Agree"),5,""))))))</f>
        <v>3</v>
      </c>
      <c r="H22" s="3">
        <f>IF('Student Raw Data'!H22="","",IF(OR(TRIM('Student Raw Data'!H22)="Strongly disagree",TRIM('Student Raw Data'!H22)="Strongly Disagree"),1,IF(TRIM('Student Raw Data'!H22)="Disagree",2,IF(OR(TRIM('Student Raw Data'!H22)="Neutral",TRIM('Student Raw Data'!H22)="Neither Agree nor Disagree"),3,IF(TRIM('Student Raw Data'!H22)="Agree",4,IF(OR(TRIM('Student Raw Data'!H22)="Strongly agree",TRIM('Student Raw Data'!H22)="Strongly Agree"),5,""))))))</f>
        <v>4</v>
      </c>
      <c r="I22" s="3">
        <f>IF('Student Raw Data'!I22="","",IF(OR(TRIM('Student Raw Data'!I22)="Strongly disagree",TRIM('Student Raw Data'!I22)="Strongly Disagree"),1,IF(TRIM('Student Raw Data'!I22)="Disagree",2,IF(OR(TRIM('Student Raw Data'!I22)="Neutral",TRIM('Student Raw Data'!I22)="Neither Agree nor Disagree"),3,IF(TRIM('Student Raw Data'!I22)="Agree",4,IF(OR(TRIM('Student Raw Data'!I22)="Strongly agree",TRIM('Student Raw Data'!I22)="Strongly Agree"),5,""))))))</f>
        <v>4</v>
      </c>
      <c r="J22" s="3">
        <f>IF('Student Raw Data'!J22="","",IF(OR(TRIM('Student Raw Data'!J22)="Strongly disagree",TRIM('Student Raw Data'!J22)="Strongly Disagree"),1,IF(TRIM('Student Raw Data'!J22)="Disagree",2,IF(OR(TRIM('Student Raw Data'!J22)="Neutral",TRIM('Student Raw Data'!J22)="Neither Agree nor Disagree"),3,IF(TRIM('Student Raw Data'!J22)="Agree",4,IF(OR(TRIM('Student Raw Data'!J22)="Strongly agree",TRIM('Student Raw Data'!J22)="Strongly Agree"),5,""))))))</f>
        <v>5</v>
      </c>
      <c r="K22" s="3">
        <f>IF('Student Raw Data'!K22="","",IF(OR(TRIM('Student Raw Data'!K22)="Strongly disagree",TRIM('Student Raw Data'!K22)="Strongly Disagree"),1,IF(TRIM('Student Raw Data'!K22)="Disagree",2,IF(OR(TRIM('Student Raw Data'!K22)="Neutral",TRIM('Student Raw Data'!K22)="Neither Agree nor Disagree"),3,IF(TRIM('Student Raw Data'!K22)="Agree",4,IF(OR(TRIM('Student Raw Data'!K22)="Strongly agree",TRIM('Student Raw Data'!K22)="Strongly Agree"),5,""))))))</f>
        <v>5</v>
      </c>
      <c r="L22" s="3">
        <f>IF('Student Raw Data'!L22="","",IF(OR(TRIM('Student Raw Data'!L22)="Strongly disagree",TRIM('Student Raw Data'!L22)="Strongly Disagree"),1,IF(TRIM('Student Raw Data'!L22)="Disagree",2,IF(OR(TRIM('Student Raw Data'!L22)="Neutral",TRIM('Student Raw Data'!L22)="Neither Agree nor Disagree"),3,IF(TRIM('Student Raw Data'!L22)="Agree",4,IF(OR(TRIM('Student Raw Data'!L22)="Strongly agree",TRIM('Student Raw Data'!L22)="Strongly Agree"),5,""))))))</f>
        <v>5</v>
      </c>
      <c r="M22" s="3">
        <f>IF('Student Raw Data'!M22="","",IF(OR(TRIM('Student Raw Data'!M22)="Strongly disagree",TRIM('Student Raw Data'!M22)="Strongly Disagree"),1,IF(TRIM('Student Raw Data'!M22)="Disagree",2,IF(OR(TRIM('Student Raw Data'!M22)="Neutral",TRIM('Student Raw Data'!M22)="Neither Agree nor Disagree"),3,IF(TRIM('Student Raw Data'!M22)="Agree",4,IF(OR(TRIM('Student Raw Data'!M22)="Strongly agree",TRIM('Student Raw Data'!M22)="Strongly Agree"),5,""))))))</f>
        <v>5</v>
      </c>
      <c r="N22" s="3">
        <f>IF('Student Raw Data'!N22="","",IF(OR(TRIM('Student Raw Data'!N22)="Strongly disagree",TRIM('Student Raw Data'!N22)="Strongly Disagree"),1,IF(TRIM('Student Raw Data'!N22)="Disagree",2,IF(OR(TRIM('Student Raw Data'!N22)="Neutral",TRIM('Student Raw Data'!N22)="Neither Agree nor Disagree"),3,IF(TRIM('Student Raw Data'!N22)="Agree",4,IF(OR(TRIM('Student Raw Data'!N22)="Strongly agree",TRIM('Student Raw Data'!N22)="Strongly Agree"),5,""))))))</f>
        <v>5</v>
      </c>
      <c r="O22" s="3">
        <f>IF('Student Raw Data'!O22="","",IF(OR(TRIM('Student Raw Data'!O22)="Strongly disagree",TRIM('Student Raw Data'!O22)="Strongly Disagree"),1,IF(TRIM('Student Raw Data'!O22)="Disagree",2,IF(OR(TRIM('Student Raw Data'!O22)="Neutral",TRIM('Student Raw Data'!O22)="Neither Agree nor Disagree"),3,IF(TRIM('Student Raw Data'!O22)="Agree",4,IF(OR(TRIM('Student Raw Data'!O22)="Strongly agree",TRIM('Student Raw Data'!O22)="Strongly Agree"),5,""))))))</f>
        <v>5</v>
      </c>
      <c r="P22" s="3">
        <f>IF('Student Raw Data'!P22="","",IF(OR(TRIM('Student Raw Data'!P22)="Strongly disagree",TRIM('Student Raw Data'!P22)="Strongly Disagree"),1,IF(TRIM('Student Raw Data'!P22)="Disagree",2,IF(OR(TRIM('Student Raw Data'!P22)="Neutral",TRIM('Student Raw Data'!P22)="Neither Agree nor Disagree"),3,IF(TRIM('Student Raw Data'!P22)="Agree",4,IF(OR(TRIM('Student Raw Data'!P22)="Strongly agree",TRIM('Student Raw Data'!P22)="Strongly Agree"),5,""))))))</f>
        <v>5</v>
      </c>
      <c r="Q22" s="3">
        <f>IF('Student Raw Data'!Q22="","",IF(OR(TRIM('Student Raw Data'!Q22)="Strongly disagree",TRIM('Student Raw Data'!Q22)="Strongly Disagree"),1,IF(TRIM('Student Raw Data'!Q22)="Disagree",2,IF(OR(TRIM('Student Raw Data'!Q22)="Neutral",TRIM('Student Raw Data'!Q22)="Neither Agree nor Disagree"),3,IF(TRIM('Student Raw Data'!Q22)="Agree",4,IF(OR(TRIM('Student Raw Data'!Q22)="Strongly agree",TRIM('Student Raw Data'!Q22)="Strongly Agree"),5,""))))))</f>
        <v>5</v>
      </c>
      <c r="R22" s="3">
        <f>IF('Student Raw Data'!R22="","",IF(OR(TRIM('Student Raw Data'!R22)="Strongly disagree",TRIM('Student Raw Data'!R22)="Strongly Disagree"),1,IF(TRIM('Student Raw Data'!R22)="Disagree",2,IF(OR(TRIM('Student Raw Data'!R22)="Neutral",TRIM('Student Raw Data'!R22)="Neither Agree nor Disagree"),3,IF(TRIM('Student Raw Data'!R22)="Agree",4,IF(OR(TRIM('Student Raw Data'!R22)="Strongly agree",TRIM('Student Raw Data'!R22)="Strongly Agree"),5,""))))))</f>
        <v>5</v>
      </c>
      <c r="S22" s="3">
        <f>IF('Student Raw Data'!S22="","",IF(OR(TRIM('Student Raw Data'!S22)="Strongly disagree",TRIM('Student Raw Data'!S22)="Strongly Disagree"),1,IF(TRIM('Student Raw Data'!S22)="Disagree",2,IF(OR(TRIM('Student Raw Data'!S22)="Neutral",TRIM('Student Raw Data'!S22)="Neither Agree nor Disagree"),3,IF(TRIM('Student Raw Data'!S22)="Agree",4,IF(OR(TRIM('Student Raw Data'!S22)="Strongly agree",TRIM('Student Raw Data'!S22)="Strongly Agree"),5,""))))))</f>
        <v>5</v>
      </c>
      <c r="T22" s="3">
        <f>IF('Student Raw Data'!T22="","",IF(OR(TRIM('Student Raw Data'!T22)="Strongly disagree",TRIM('Student Raw Data'!T22)="Strongly Disagree"),1,IF(TRIM('Student Raw Data'!T22)="Disagree",2,IF(OR(TRIM('Student Raw Data'!T22)="Neutral",TRIM('Student Raw Data'!T22)="Neither Agree nor Disagree"),3,IF(TRIM('Student Raw Data'!T22)="Agree",4,IF(OR(TRIM('Student Raw Data'!T22)="Strongly agree",TRIM('Student Raw Data'!T22)="Strongly Agree"),5,""))))))</f>
        <v>5</v>
      </c>
      <c r="U22" s="3">
        <f>IF('Student Raw Data'!U22="","",IF(OR(TRIM('Student Raw Data'!U22)="Strongly disagree",TRIM('Student Raw Data'!U22)="Strongly Disagree"),1,IF(TRIM('Student Raw Data'!U22)="Disagree",2,IF(OR(TRIM('Student Raw Data'!U22)="Neutral",TRIM('Student Raw Data'!U22)="Neither Agree nor Disagree"),3,IF(TRIM('Student Raw Data'!U22)="Agree",4,IF(OR(TRIM('Student Raw Data'!U22)="Strongly agree",TRIM('Student Raw Data'!U22)="Strongly Agree"),5,""))))))</f>
        <v>5</v>
      </c>
      <c r="V22" s="3" t="str">
        <f>IF('Student Raw Data'!V22="","",IF(OR(TRIM('Student Raw Data'!V22)="Strongly disagree",TRIM('Student Raw Data'!V22)="Strongly Disagree"),1,IF(TRIM('Student Raw Data'!V22)="Disagree",2,IF(OR(TRIM('Student Raw Data'!V22)="Neutral",TRIM('Student Raw Data'!V22)="Neither Agree nor Disagree"),3,IF(TRIM('Student Raw Data'!V22)="Agree",4,IF(OR(TRIM('Student Raw Data'!V22)="Strongly agree",TRIM('Student Raw Data'!V22)="Strongly Agree"),5,""))))))</f>
        <v/>
      </c>
      <c r="W22" s="3">
        <f>IF('Student Raw Data'!W22="","",IF(OR(TRIM('Student Raw Data'!W22)="Strongly disagree",TRIM('Student Raw Data'!W22)="Strongly Disagree"),1,IF(TRIM('Student Raw Data'!W22)="Disagree",2,IF(OR(TRIM('Student Raw Data'!W22)="Neutral",TRIM('Student Raw Data'!W22)="Neither Agree nor Disagree"),3,IF(TRIM('Student Raw Data'!W22)="Agree",4,IF(OR(TRIM('Student Raw Data'!W22)="Strongly agree",TRIM('Student Raw Data'!W22)="Strongly Agree"),5,""))))))</f>
        <v>5</v>
      </c>
      <c r="X22" s="3">
        <f>IF('Student Raw Data'!X22="","",IF(OR(TRIM('Student Raw Data'!X22)="Strongly disagree",TRIM('Student Raw Data'!X22)="Strongly Disagree"),1,IF(TRIM('Student Raw Data'!X22)="Disagree",2,IF(OR(TRIM('Student Raw Data'!X22)="Neutral",TRIM('Student Raw Data'!X22)="Neither Agree nor Disagree"),3,IF(TRIM('Student Raw Data'!X22)="Agree",4,IF(OR(TRIM('Student Raw Data'!X22)="Strongly agree",TRIM('Student Raw Data'!X22)="Strongly Agree"),5,""))))))</f>
        <v>5</v>
      </c>
      <c r="Y22" s="3">
        <f>IF('Student Raw Data'!Y22="","",IF(OR(TRIM('Student Raw Data'!Y22)="Strongly disagree",TRIM('Student Raw Data'!Y22)="Strongly Disagree"),1,IF(TRIM('Student Raw Data'!Y22)="Disagree",2,IF(OR(TRIM('Student Raw Data'!Y22)="Neutral",TRIM('Student Raw Data'!Y22)="Neither Agree nor Disagree"),3,IF(TRIM('Student Raw Data'!Y22)="Agree",4,IF(OR(TRIM('Student Raw Data'!Y22)="Strongly agree",TRIM('Student Raw Data'!Y22)="Strongly Agree"),5,""))))))</f>
        <v>5</v>
      </c>
      <c r="Z22" s="3">
        <f>IF('Student Raw Data'!Z22="","",IF(OR(TRIM('Student Raw Data'!Z22)="Strongly disagree",TRIM('Student Raw Data'!Z22)="Strongly Disagree"),1,IF(TRIM('Student Raw Data'!Z22)="Disagree",2,IF(OR(TRIM('Student Raw Data'!Z22)="Neutral",TRIM('Student Raw Data'!Z22)="Neither Agree nor Disagree"),3,IF(TRIM('Student Raw Data'!Z22)="Agree",4,IF(OR(TRIM('Student Raw Data'!Z22)="Strongly agree",TRIM('Student Raw Data'!Z22)="Strongly Agree"),5,""))))))</f>
        <v>5</v>
      </c>
      <c r="AA22" s="3">
        <f>'Student Raw Data'!AA22</f>
        <v>5</v>
      </c>
      <c r="AB22" s="3" t="str">
        <f>'Student Raw Data'!AB22</f>
        <v>Strongly Agree</v>
      </c>
      <c r="AC22" s="3" t="str">
        <f>'Student Raw Data'!AC22</f>
        <v>Definitely Yes</v>
      </c>
      <c r="AD22" s="3">
        <f>'Student Raw Data'!AD22</f>
        <v>0</v>
      </c>
      <c r="AE22" s="3">
        <f>'Student Raw Data'!AE22</f>
        <v>0</v>
      </c>
      <c r="AF22" s="3">
        <f>'Student Raw Data'!AF22</f>
        <v>0</v>
      </c>
    </row>
  </sheetData>
  <autoFilter ref="A1:AF22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2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customHeight="1" x14ac:dyDescent="0.2"/>
  <cols>
    <col min="1" max="1" width="24" customWidth="1"/>
    <col min="2" max="2" width="47" customWidth="1"/>
    <col min="3" max="29" width="55" customWidth="1"/>
  </cols>
  <sheetData>
    <row r="1" spans="1:29" ht="45" x14ac:dyDescent="0.2">
      <c r="A1" s="1" t="s">
        <v>0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12</v>
      </c>
      <c r="K1" s="1" t="s">
        <v>95</v>
      </c>
      <c r="L1" s="1" t="s">
        <v>96</v>
      </c>
      <c r="M1" s="1" t="s">
        <v>97</v>
      </c>
      <c r="N1" s="1" t="s">
        <v>98</v>
      </c>
      <c r="O1" s="1" t="s">
        <v>99</v>
      </c>
      <c r="P1" s="1" t="s">
        <v>100</v>
      </c>
      <c r="Q1" s="1" t="s">
        <v>19</v>
      </c>
      <c r="R1" s="1" t="s">
        <v>20</v>
      </c>
      <c r="S1" s="1" t="s">
        <v>101</v>
      </c>
      <c r="T1" s="1" t="s">
        <v>102</v>
      </c>
      <c r="U1" s="1" t="s">
        <v>103</v>
      </c>
      <c r="V1" s="1" t="s">
        <v>104</v>
      </c>
      <c r="W1" s="1" t="s">
        <v>105</v>
      </c>
      <c r="X1" s="1" t="s">
        <v>106</v>
      </c>
      <c r="Y1" s="1" t="s">
        <v>107</v>
      </c>
      <c r="Z1" s="1" t="s">
        <v>108</v>
      </c>
      <c r="AA1" s="1" t="s">
        <v>109</v>
      </c>
      <c r="AB1" s="1" t="s">
        <v>110</v>
      </c>
      <c r="AC1" s="1" t="s">
        <v>111</v>
      </c>
    </row>
    <row r="2" spans="1:29" ht="16" x14ac:dyDescent="0.2">
      <c r="A2" s="2">
        <f>'Trainer Raw Data'!A2</f>
        <v>46276.989788437502</v>
      </c>
      <c r="B2" s="3" t="str">
        <f>'Trainer Raw Data'!B2</f>
        <v>Gym Trainer</v>
      </c>
      <c r="C2" s="3" t="str">
        <f>'Trainer Raw Data'!C2</f>
        <v>More than 2 years</v>
      </c>
      <c r="D2" s="3">
        <f>IF('Trainer Raw Data'!D2="","",IF(OR(TRIM('Trainer Raw Data'!D2)="Strongly disagree",TRIM('Trainer Raw Data'!D2)="Strongly Disagree"),1,IF(TRIM('Trainer Raw Data'!D2)="Disagree",2,IF(OR(TRIM('Trainer Raw Data'!D2)="Neutral",TRIM('Trainer Raw Data'!D2)="Neither Agree nor Disagree"),3,IF(TRIM('Trainer Raw Data'!D2)="Agree",4,IF(OR(TRIM('Trainer Raw Data'!D2)="Strongly agree",TRIM('Trainer Raw Data'!D2)="Strongly Agree"),5,""))))))</f>
        <v>5</v>
      </c>
      <c r="E2" s="3">
        <f>IF('Trainer Raw Data'!E2="","",IF(OR(TRIM('Trainer Raw Data'!E2)="Strongly disagree",TRIM('Trainer Raw Data'!E2)="Strongly Disagree"),1,IF(TRIM('Trainer Raw Data'!E2)="Disagree",2,IF(OR(TRIM('Trainer Raw Data'!E2)="Neutral",TRIM('Trainer Raw Data'!E2)="Neither Agree nor Disagree"),3,IF(TRIM('Trainer Raw Data'!E2)="Agree",4,IF(OR(TRIM('Trainer Raw Data'!E2)="Strongly agree",TRIM('Trainer Raw Data'!E2)="Strongly Agree"),5,""))))))</f>
        <v>4</v>
      </c>
      <c r="F2" s="3">
        <f>IF('Trainer Raw Data'!F2="","",IF(OR(TRIM('Trainer Raw Data'!F2)="Strongly disagree",TRIM('Trainer Raw Data'!F2)="Strongly Disagree"),1,IF(TRIM('Trainer Raw Data'!F2)="Disagree",2,IF(OR(TRIM('Trainer Raw Data'!F2)="Neutral",TRIM('Trainer Raw Data'!F2)="Neither Agree nor Disagree"),3,IF(TRIM('Trainer Raw Data'!F2)="Agree",4,IF(OR(TRIM('Trainer Raw Data'!F2)="Strongly agree",TRIM('Trainer Raw Data'!F2)="Strongly Agree"),5,""))))))</f>
        <v>5</v>
      </c>
      <c r="G2" s="3">
        <f>IF('Trainer Raw Data'!G2="","",IF(OR(TRIM('Trainer Raw Data'!G2)="Strongly disagree",TRIM('Trainer Raw Data'!G2)="Strongly Disagree"),1,IF(TRIM('Trainer Raw Data'!G2)="Disagree",2,IF(OR(TRIM('Trainer Raw Data'!G2)="Neutral",TRIM('Trainer Raw Data'!G2)="Neither Agree nor Disagree"),3,IF(TRIM('Trainer Raw Data'!G2)="Agree",4,IF(OR(TRIM('Trainer Raw Data'!G2)="Strongly agree",TRIM('Trainer Raw Data'!G2)="Strongly Agree"),5,""))))))</f>
        <v>5</v>
      </c>
      <c r="H2" s="3">
        <f>IF('Trainer Raw Data'!H2="","",IF(OR(TRIM('Trainer Raw Data'!H2)="Strongly disagree",TRIM('Trainer Raw Data'!H2)="Strongly Disagree"),1,IF(TRIM('Trainer Raw Data'!H2)="Disagree",2,IF(OR(TRIM('Trainer Raw Data'!H2)="Neutral",TRIM('Trainer Raw Data'!H2)="Neither Agree nor Disagree"),3,IF(TRIM('Trainer Raw Data'!H2)="Agree",4,IF(OR(TRIM('Trainer Raw Data'!H2)="Strongly agree",TRIM('Trainer Raw Data'!H2)="Strongly Agree"),5,""))))))</f>
        <v>4</v>
      </c>
      <c r="I2" s="3">
        <f>IF('Trainer Raw Data'!I2="","",IF(OR(TRIM('Trainer Raw Data'!I2)="Strongly disagree",TRIM('Trainer Raw Data'!I2)="Strongly Disagree"),1,IF(TRIM('Trainer Raw Data'!I2)="Disagree",2,IF(OR(TRIM('Trainer Raw Data'!I2)="Neutral",TRIM('Trainer Raw Data'!I2)="Neither Agree nor Disagree"),3,IF(TRIM('Trainer Raw Data'!I2)="Agree",4,IF(OR(TRIM('Trainer Raw Data'!I2)="Strongly agree",TRIM('Trainer Raw Data'!I2)="Strongly Agree"),5,""))))))</f>
        <v>5</v>
      </c>
      <c r="J2" s="3">
        <f>IF('Trainer Raw Data'!J2="","",IF(OR(TRIM('Trainer Raw Data'!J2)="Strongly disagree",TRIM('Trainer Raw Data'!J2)="Strongly Disagree"),1,IF(TRIM('Trainer Raw Data'!J2)="Disagree",2,IF(OR(TRIM('Trainer Raw Data'!J2)="Neutral",TRIM('Trainer Raw Data'!J2)="Neither Agree nor Disagree"),3,IF(TRIM('Trainer Raw Data'!J2)="Agree",4,IF(OR(TRIM('Trainer Raw Data'!J2)="Strongly agree",TRIM('Trainer Raw Data'!J2)="Strongly Agree"),5,""))))))</f>
        <v>4</v>
      </c>
      <c r="K2" s="3">
        <f>IF('Trainer Raw Data'!K2="","",IF(OR(TRIM('Trainer Raw Data'!K2)="Strongly disagree",TRIM('Trainer Raw Data'!K2)="Strongly Disagree"),1,IF(TRIM('Trainer Raw Data'!K2)="Disagree",2,IF(OR(TRIM('Trainer Raw Data'!K2)="Neutral",TRIM('Trainer Raw Data'!K2)="Neither Agree nor Disagree"),3,IF(TRIM('Trainer Raw Data'!K2)="Agree",4,IF(OR(TRIM('Trainer Raw Data'!K2)="Strongly agree",TRIM('Trainer Raw Data'!K2)="Strongly Agree"),5,""))))))</f>
        <v>3</v>
      </c>
      <c r="L2" s="3">
        <f>IF('Trainer Raw Data'!L2="","",IF(OR(TRIM('Trainer Raw Data'!L2)="Strongly disagree",TRIM('Trainer Raw Data'!L2)="Strongly Disagree"),1,IF(TRIM('Trainer Raw Data'!L2)="Disagree",2,IF(OR(TRIM('Trainer Raw Data'!L2)="Neutral",TRIM('Trainer Raw Data'!L2)="Neither Agree nor Disagree"),3,IF(TRIM('Trainer Raw Data'!L2)="Agree",4,IF(OR(TRIM('Trainer Raw Data'!L2)="Strongly agree",TRIM('Trainer Raw Data'!L2)="Strongly Agree"),5,""))))))</f>
        <v>5</v>
      </c>
      <c r="M2" s="3">
        <f>IF('Trainer Raw Data'!M2="","",IF(OR(TRIM('Trainer Raw Data'!M2)="Strongly disagree",TRIM('Trainer Raw Data'!M2)="Strongly Disagree"),1,IF(TRIM('Trainer Raw Data'!M2)="Disagree",2,IF(OR(TRIM('Trainer Raw Data'!M2)="Neutral",TRIM('Trainer Raw Data'!M2)="Neither Agree nor Disagree"),3,IF(TRIM('Trainer Raw Data'!M2)="Agree",4,IF(OR(TRIM('Trainer Raw Data'!M2)="Strongly agree",TRIM('Trainer Raw Data'!M2)="Strongly Agree"),5,""))))))</f>
        <v>5</v>
      </c>
      <c r="N2" s="3">
        <f>IF('Trainer Raw Data'!N2="","",IF(OR(TRIM('Trainer Raw Data'!N2)="Strongly disagree",TRIM('Trainer Raw Data'!N2)="Strongly Disagree"),1,IF(TRIM('Trainer Raw Data'!N2)="Disagree",2,IF(OR(TRIM('Trainer Raw Data'!N2)="Neutral",TRIM('Trainer Raw Data'!N2)="Neither Agree nor Disagree"),3,IF(TRIM('Trainer Raw Data'!N2)="Agree",4,IF(OR(TRIM('Trainer Raw Data'!N2)="Strongly agree",TRIM('Trainer Raw Data'!N2)="Strongly Agree"),5,""))))))</f>
        <v>5</v>
      </c>
      <c r="O2" s="3">
        <f>IF('Trainer Raw Data'!O2="","",IF(OR(TRIM('Trainer Raw Data'!O2)="Strongly disagree",TRIM('Trainer Raw Data'!O2)="Strongly Disagree"),1,IF(TRIM('Trainer Raw Data'!O2)="Disagree",2,IF(OR(TRIM('Trainer Raw Data'!O2)="Neutral",TRIM('Trainer Raw Data'!O2)="Neither Agree nor Disagree"),3,IF(TRIM('Trainer Raw Data'!O2)="Agree",4,IF(OR(TRIM('Trainer Raw Data'!O2)="Strongly agree",TRIM('Trainer Raw Data'!O2)="Strongly Agree"),5,""))))))</f>
        <v>5</v>
      </c>
      <c r="P2" s="3">
        <f>IF('Trainer Raw Data'!P2="","",IF(OR(TRIM('Trainer Raw Data'!P2)="Strongly disagree",TRIM('Trainer Raw Data'!P2)="Strongly Disagree"),1,IF(TRIM('Trainer Raw Data'!P2)="Disagree",2,IF(OR(TRIM('Trainer Raw Data'!P2)="Neutral",TRIM('Trainer Raw Data'!P2)="Neither Agree nor Disagree"),3,IF(TRIM('Trainer Raw Data'!P2)="Agree",4,IF(OR(TRIM('Trainer Raw Data'!P2)="Strongly agree",TRIM('Trainer Raw Data'!P2)="Strongly Agree"),5,""))))))</f>
        <v>5</v>
      </c>
      <c r="Q2" s="3">
        <f>IF('Trainer Raw Data'!Q2="","",IF(OR(TRIM('Trainer Raw Data'!Q2)="Strongly disagree",TRIM('Trainer Raw Data'!Q2)="Strongly Disagree"),1,IF(TRIM('Trainer Raw Data'!Q2)="Disagree",2,IF(OR(TRIM('Trainer Raw Data'!Q2)="Neutral",TRIM('Trainer Raw Data'!Q2)="Neither Agree nor Disagree"),3,IF(TRIM('Trainer Raw Data'!Q2)="Agree",4,IF(OR(TRIM('Trainer Raw Data'!Q2)="Strongly agree",TRIM('Trainer Raw Data'!Q2)="Strongly Agree"),5,""))))))</f>
        <v>5</v>
      </c>
      <c r="R2" s="3">
        <f>IF('Trainer Raw Data'!R2="","",IF(OR(TRIM('Trainer Raw Data'!R2)="Strongly disagree",TRIM('Trainer Raw Data'!R2)="Strongly Disagree"),1,IF(TRIM('Trainer Raw Data'!R2)="Disagree",2,IF(OR(TRIM('Trainer Raw Data'!R2)="Neutral",TRIM('Trainer Raw Data'!R2)="Neither Agree nor Disagree"),3,IF(TRIM('Trainer Raw Data'!R2)="Agree",4,IF(OR(TRIM('Trainer Raw Data'!R2)="Strongly agree",TRIM('Trainer Raw Data'!R2)="Strongly Agree"),5,""))))))</f>
        <v>5</v>
      </c>
      <c r="S2" s="3">
        <f>IF('Trainer Raw Data'!S2="","",IF(OR(TRIM('Trainer Raw Data'!S2)="Strongly disagree",TRIM('Trainer Raw Data'!S2)="Strongly Disagree"),1,IF(TRIM('Trainer Raw Data'!S2)="Disagree",2,IF(OR(TRIM('Trainer Raw Data'!S2)="Neutral",TRIM('Trainer Raw Data'!S2)="Neither Agree nor Disagree"),3,IF(TRIM('Trainer Raw Data'!S2)="Agree",4,IF(OR(TRIM('Trainer Raw Data'!S2)="Strongly agree",TRIM('Trainer Raw Data'!S2)="Strongly Agree"),5,""))))))</f>
        <v>5</v>
      </c>
      <c r="T2" s="3">
        <f>IF('Trainer Raw Data'!T2="","",IF(OR(TRIM('Trainer Raw Data'!T2)="Strongly disagree",TRIM('Trainer Raw Data'!T2)="Strongly Disagree"),1,IF(TRIM('Trainer Raw Data'!T2)="Disagree",2,IF(OR(TRIM('Trainer Raw Data'!T2)="Neutral",TRIM('Trainer Raw Data'!T2)="Neither Agree nor Disagree"),3,IF(TRIM('Trainer Raw Data'!T2)="Agree",4,IF(OR(TRIM('Trainer Raw Data'!T2)="Strongly agree",TRIM('Trainer Raw Data'!T2)="Strongly Agree"),5,""))))))</f>
        <v>5</v>
      </c>
      <c r="U2" s="3">
        <f>IF('Trainer Raw Data'!U2="","",IF(OR(TRIM('Trainer Raw Data'!U2)="Strongly disagree",TRIM('Trainer Raw Data'!U2)="Strongly Disagree"),1,IF(TRIM('Trainer Raw Data'!U2)="Disagree",2,IF(OR(TRIM('Trainer Raw Data'!U2)="Neutral",TRIM('Trainer Raw Data'!U2)="Neither Agree nor Disagree"),3,IF(TRIM('Trainer Raw Data'!U2)="Agree",4,IF(OR(TRIM('Trainer Raw Data'!U2)="Strongly agree",TRIM('Trainer Raw Data'!U2)="Strongly Agree"),5,""))))))</f>
        <v>5</v>
      </c>
      <c r="V2" s="3">
        <f>IF('Trainer Raw Data'!V2="","",IF(OR(TRIM('Trainer Raw Data'!V2)="Strongly disagree",TRIM('Trainer Raw Data'!V2)="Strongly Disagree"),1,IF(TRIM('Trainer Raw Data'!V2)="Disagree",2,IF(OR(TRIM('Trainer Raw Data'!V2)="Neutral",TRIM('Trainer Raw Data'!V2)="Neither Agree nor Disagree"),3,IF(TRIM('Trainer Raw Data'!V2)="Agree",4,IF(OR(TRIM('Trainer Raw Data'!V2)="Strongly agree",TRIM('Trainer Raw Data'!V2)="Strongly Agree"),5,""))))))</f>
        <v>5</v>
      </c>
      <c r="W2" s="3">
        <f>IF('Trainer Raw Data'!W2="","",IF(OR(TRIM('Trainer Raw Data'!W2)="Strongly disagree",TRIM('Trainer Raw Data'!W2)="Strongly Disagree"),1,IF(TRIM('Trainer Raw Data'!W2)="Disagree",2,IF(OR(TRIM('Trainer Raw Data'!W2)="Neutral",TRIM('Trainer Raw Data'!W2)="Neither Agree nor Disagree"),3,IF(TRIM('Trainer Raw Data'!W2)="Agree",4,IF(OR(TRIM('Trainer Raw Data'!W2)="Strongly agree",TRIM('Trainer Raw Data'!W2)="Strongly Agree"),5,""))))))</f>
        <v>5</v>
      </c>
      <c r="X2" s="3">
        <f>'Trainer Raw Data'!X2</f>
        <v>5</v>
      </c>
      <c r="Y2" s="3" t="str">
        <f>'Trainer Raw Data'!Y2</f>
        <v>Strongly agree</v>
      </c>
      <c r="Z2" s="3" t="str">
        <f>'Trainer Raw Data'!Z2</f>
        <v xml:space="preserve">Space is less…so little challenge but manageable </v>
      </c>
      <c r="AA2" s="3" t="str">
        <f>'Trainer Raw Data'!AA2</f>
        <v>Littile challenging but… I can handle well.</v>
      </c>
      <c r="AB2" s="3">
        <f>'Trainer Raw Data'!AB2</f>
        <v>0</v>
      </c>
      <c r="AC2" s="3" t="str">
        <f>'Trainer Raw Data'!AC2</f>
        <v xml:space="preserve">Need to add some equipments </v>
      </c>
    </row>
  </sheetData>
  <autoFilter ref="A1:AC2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1"/>
  <sheetViews>
    <sheetView zoomScaleNormal="100" workbookViewId="0">
      <pane ySplit="1" topLeftCell="A2" activePane="bottomLeft" state="frozen"/>
      <selection pane="bottomLeft" activeCell="H5" sqref="H5"/>
    </sheetView>
  </sheetViews>
  <sheetFormatPr baseColWidth="10" defaultColWidth="8.6640625" defaultRowHeight="15" customHeight="1" x14ac:dyDescent="0.2"/>
  <cols>
    <col min="1" max="1" width="12" customWidth="1"/>
    <col min="2" max="2" width="16" customWidth="1"/>
    <col min="3" max="3" width="55" customWidth="1"/>
    <col min="4" max="4" width="34" customWidth="1"/>
    <col min="5" max="5" width="33" customWidth="1"/>
    <col min="6" max="6" width="25" customWidth="1"/>
    <col min="7" max="7" width="14" customWidth="1"/>
    <col min="8" max="8" width="37" customWidth="1"/>
    <col min="9" max="9" width="28" customWidth="1"/>
  </cols>
  <sheetData>
    <row r="1" spans="1:9" x14ac:dyDescent="0.2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</row>
    <row r="2" spans="1:9" ht="32" x14ac:dyDescent="0.2">
      <c r="A2" s="3" t="s">
        <v>126</v>
      </c>
      <c r="B2" s="3" t="s">
        <v>127</v>
      </c>
      <c r="C2" s="3" t="s">
        <v>6</v>
      </c>
      <c r="D2" s="4">
        <f>AVERAGE('Student Coded'!G2:G22)</f>
        <v>3.8095238095238093</v>
      </c>
      <c r="E2" s="4">
        <f>AVERAGE('Trainer Coded'!D2)</f>
        <v>5</v>
      </c>
      <c r="F2" s="4">
        <f t="shared" ref="F2:F21" si="0">D2-E2</f>
        <v>-1.1904761904761907</v>
      </c>
      <c r="G2" s="4">
        <f t="shared" ref="G2:G21" si="1">ABS(F2)</f>
        <v>1.1904761904761907</v>
      </c>
      <c r="H2" s="4">
        <f>COUNTBLANK('Student Coded'!G2:G22)</f>
        <v>0</v>
      </c>
      <c r="I2" s="4">
        <f>_xlfn.RANK.EQ(F2,$F$2:$F$21,1)</f>
        <v>1</v>
      </c>
    </row>
    <row r="3" spans="1:9" ht="32" x14ac:dyDescent="0.2">
      <c r="A3" s="3" t="s">
        <v>128</v>
      </c>
      <c r="B3" s="3" t="s">
        <v>127</v>
      </c>
      <c r="C3" s="3" t="s">
        <v>7</v>
      </c>
      <c r="D3" s="4">
        <f>AVERAGE('Student Coded'!H2:H22)</f>
        <v>3.3333333333333335</v>
      </c>
      <c r="E3" s="4">
        <f>AVERAGE('Trainer Coded'!E2)</f>
        <v>4</v>
      </c>
      <c r="F3" s="4">
        <f t="shared" si="0"/>
        <v>-0.66666666666666652</v>
      </c>
      <c r="G3" s="4">
        <f t="shared" si="1"/>
        <v>0.66666666666666652</v>
      </c>
      <c r="H3" s="4">
        <f>COUNTBLANK('Student Coded'!H2:H22)</f>
        <v>0</v>
      </c>
      <c r="I3" s="4">
        <f t="shared" ref="I3:I21" si="2">_xlfn.RANK.EQ(F3,$F$2:$F$21,1)</f>
        <v>16</v>
      </c>
    </row>
    <row r="4" spans="1:9" ht="16" x14ac:dyDescent="0.2">
      <c r="A4" s="3" t="s">
        <v>129</v>
      </c>
      <c r="B4" s="3" t="s">
        <v>127</v>
      </c>
      <c r="C4" s="3" t="s">
        <v>8</v>
      </c>
      <c r="D4" s="4">
        <f>AVERAGE('Student Coded'!I2:I22)</f>
        <v>4.2380952380952381</v>
      </c>
      <c r="E4" s="4">
        <f>AVERAGE('Trainer Coded'!F2)</f>
        <v>5</v>
      </c>
      <c r="F4" s="4">
        <f t="shared" si="0"/>
        <v>-0.76190476190476186</v>
      </c>
      <c r="G4" s="4">
        <f t="shared" si="1"/>
        <v>0.76190476190476186</v>
      </c>
      <c r="H4" s="4">
        <f>COUNTBLANK('Student Coded'!I2:I22)</f>
        <v>0</v>
      </c>
      <c r="I4" s="4">
        <f t="shared" si="2"/>
        <v>7</v>
      </c>
    </row>
    <row r="5" spans="1:9" ht="32" x14ac:dyDescent="0.2">
      <c r="A5" s="3" t="s">
        <v>130</v>
      </c>
      <c r="B5" s="3" t="s">
        <v>127</v>
      </c>
      <c r="C5" s="3" t="s">
        <v>9</v>
      </c>
      <c r="D5" s="4">
        <f>AVERAGE('Student Coded'!J2:J22)</f>
        <v>4.1904761904761907</v>
      </c>
      <c r="E5" s="4">
        <f>AVERAGE('Trainer Coded'!G2)</f>
        <v>5</v>
      </c>
      <c r="F5" s="4">
        <f t="shared" si="0"/>
        <v>-0.80952380952380931</v>
      </c>
      <c r="G5" s="4">
        <f t="shared" si="1"/>
        <v>0.80952380952380931</v>
      </c>
      <c r="H5" s="4">
        <f>COUNTBLANK('Student Coded'!J2:J22)</f>
        <v>0</v>
      </c>
      <c r="I5" s="4">
        <f t="shared" si="2"/>
        <v>5</v>
      </c>
    </row>
    <row r="6" spans="1:9" ht="32" x14ac:dyDescent="0.2">
      <c r="A6" s="3" t="s">
        <v>131</v>
      </c>
      <c r="B6" s="3" t="s">
        <v>127</v>
      </c>
      <c r="C6" s="3" t="s">
        <v>10</v>
      </c>
      <c r="D6" s="4">
        <f>AVERAGE('Student Coded'!K2:K22)</f>
        <v>3.4285714285714284</v>
      </c>
      <c r="E6" s="4">
        <f>AVERAGE('Trainer Coded'!H2)</f>
        <v>4</v>
      </c>
      <c r="F6" s="4">
        <f t="shared" si="0"/>
        <v>-0.57142857142857162</v>
      </c>
      <c r="G6" s="4">
        <f t="shared" si="1"/>
        <v>0.57142857142857162</v>
      </c>
      <c r="H6" s="4">
        <f>COUNTBLANK('Student Coded'!K2:K22)</f>
        <v>0</v>
      </c>
      <c r="I6" s="4">
        <f t="shared" si="2"/>
        <v>18</v>
      </c>
    </row>
    <row r="7" spans="1:9" ht="32" x14ac:dyDescent="0.2">
      <c r="A7" s="3" t="s">
        <v>132</v>
      </c>
      <c r="B7" s="3" t="s">
        <v>133</v>
      </c>
      <c r="C7" s="3" t="s">
        <v>11</v>
      </c>
      <c r="D7" s="4">
        <f>AVERAGE('Student Coded'!L2:L22)</f>
        <v>4.0952380952380949</v>
      </c>
      <c r="E7" s="4">
        <f>AVERAGE('Trainer Coded'!I2)</f>
        <v>5</v>
      </c>
      <c r="F7" s="4">
        <f t="shared" si="0"/>
        <v>-0.9047619047619051</v>
      </c>
      <c r="G7" s="4">
        <f t="shared" si="1"/>
        <v>0.9047619047619051</v>
      </c>
      <c r="H7" s="4">
        <f>COUNTBLANK('Student Coded'!L2:L22)</f>
        <v>0</v>
      </c>
      <c r="I7" s="4">
        <f t="shared" si="2"/>
        <v>2</v>
      </c>
    </row>
    <row r="8" spans="1:9" ht="32" x14ac:dyDescent="0.2">
      <c r="A8" s="3" t="s">
        <v>134</v>
      </c>
      <c r="B8" s="3" t="s">
        <v>133</v>
      </c>
      <c r="C8" s="3" t="s">
        <v>12</v>
      </c>
      <c r="D8" s="4">
        <f>AVERAGE('Student Coded'!M2:M22)</f>
        <v>4.1904761904761907</v>
      </c>
      <c r="E8" s="4">
        <f>AVERAGE('Trainer Coded'!J2)</f>
        <v>4</v>
      </c>
      <c r="F8" s="4">
        <f t="shared" si="0"/>
        <v>0.19047619047619069</v>
      </c>
      <c r="G8" s="4">
        <f t="shared" si="1"/>
        <v>0.19047619047619069</v>
      </c>
      <c r="H8" s="4">
        <f>COUNTBLANK('Student Coded'!M2:M22)</f>
        <v>0</v>
      </c>
      <c r="I8" s="4">
        <f t="shared" si="2"/>
        <v>19</v>
      </c>
    </row>
    <row r="9" spans="1:9" ht="32" x14ac:dyDescent="0.2">
      <c r="A9" s="3" t="s">
        <v>135</v>
      </c>
      <c r="B9" s="3" t="s">
        <v>133</v>
      </c>
      <c r="C9" s="3" t="s">
        <v>13</v>
      </c>
      <c r="D9" s="4">
        <f>AVERAGE('Student Coded'!N2:N22)</f>
        <v>4.0952380952380949</v>
      </c>
      <c r="E9" s="4">
        <f>AVERAGE('Trainer Coded'!K2)</f>
        <v>3</v>
      </c>
      <c r="F9" s="4">
        <f t="shared" si="0"/>
        <v>1.0952380952380949</v>
      </c>
      <c r="G9" s="4">
        <f t="shared" si="1"/>
        <v>1.0952380952380949</v>
      </c>
      <c r="H9" s="4">
        <f>COUNTBLANK('Student Coded'!N2:N22)</f>
        <v>0</v>
      </c>
      <c r="I9" s="4">
        <f t="shared" si="2"/>
        <v>20</v>
      </c>
    </row>
    <row r="10" spans="1:9" ht="32" x14ac:dyDescent="0.2">
      <c r="A10" s="3" t="s">
        <v>136</v>
      </c>
      <c r="B10" s="3" t="s">
        <v>133</v>
      </c>
      <c r="C10" s="3" t="s">
        <v>14</v>
      </c>
      <c r="D10" s="4">
        <f>AVERAGE('Student Coded'!O2:O22)</f>
        <v>4.2857142857142856</v>
      </c>
      <c r="E10" s="4">
        <f>AVERAGE('Trainer Coded'!L2)</f>
        <v>5</v>
      </c>
      <c r="F10" s="4">
        <f t="shared" si="0"/>
        <v>-0.71428571428571441</v>
      </c>
      <c r="G10" s="4">
        <f t="shared" si="1"/>
        <v>0.71428571428571441</v>
      </c>
      <c r="H10" s="4">
        <f>COUNTBLANK('Student Coded'!O2:O22)</f>
        <v>0</v>
      </c>
      <c r="I10" s="4">
        <f t="shared" si="2"/>
        <v>10</v>
      </c>
    </row>
    <row r="11" spans="1:9" ht="32" x14ac:dyDescent="0.2">
      <c r="A11" s="3" t="s">
        <v>137</v>
      </c>
      <c r="B11" s="3" t="s">
        <v>138</v>
      </c>
      <c r="C11" s="3" t="s">
        <v>15</v>
      </c>
      <c r="D11" s="4">
        <f>AVERAGE('Student Coded'!P2:P22)</f>
        <v>4.2857142857142856</v>
      </c>
      <c r="E11" s="4">
        <f>AVERAGE('Trainer Coded'!M2)</f>
        <v>5</v>
      </c>
      <c r="F11" s="4">
        <f t="shared" si="0"/>
        <v>-0.71428571428571441</v>
      </c>
      <c r="G11" s="4">
        <f t="shared" si="1"/>
        <v>0.71428571428571441</v>
      </c>
      <c r="H11" s="4">
        <f>COUNTBLANK('Student Coded'!P2:P22)</f>
        <v>0</v>
      </c>
      <c r="I11" s="4">
        <f t="shared" si="2"/>
        <v>10</v>
      </c>
    </row>
    <row r="12" spans="1:9" ht="16" x14ac:dyDescent="0.2">
      <c r="A12" s="3" t="s">
        <v>139</v>
      </c>
      <c r="B12" s="3" t="s">
        <v>138</v>
      </c>
      <c r="C12" s="3" t="s">
        <v>16</v>
      </c>
      <c r="D12" s="4">
        <f>AVERAGE('Student Coded'!Q2:Q22)</f>
        <v>4.1904761904761907</v>
      </c>
      <c r="E12" s="4">
        <f>AVERAGE('Trainer Coded'!N2)</f>
        <v>5</v>
      </c>
      <c r="F12" s="4">
        <f t="shared" si="0"/>
        <v>-0.80952380952380931</v>
      </c>
      <c r="G12" s="4">
        <f t="shared" si="1"/>
        <v>0.80952380952380931</v>
      </c>
      <c r="H12" s="4">
        <f>COUNTBLANK('Student Coded'!Q2:Q22)</f>
        <v>0</v>
      </c>
      <c r="I12" s="4">
        <f t="shared" si="2"/>
        <v>5</v>
      </c>
    </row>
    <row r="13" spans="1:9" ht="32" x14ac:dyDescent="0.2">
      <c r="A13" s="3" t="s">
        <v>140</v>
      </c>
      <c r="B13" s="3" t="s">
        <v>138</v>
      </c>
      <c r="C13" s="3" t="s">
        <v>17</v>
      </c>
      <c r="D13" s="4">
        <f>AVERAGE('Student Coded'!R2:R22)</f>
        <v>4.2857142857142856</v>
      </c>
      <c r="E13" s="4">
        <f>AVERAGE('Trainer Coded'!O2)</f>
        <v>5</v>
      </c>
      <c r="F13" s="4">
        <f t="shared" si="0"/>
        <v>-0.71428571428571441</v>
      </c>
      <c r="G13" s="4">
        <f t="shared" si="1"/>
        <v>0.71428571428571441</v>
      </c>
      <c r="H13" s="4">
        <f>COUNTBLANK('Student Coded'!R2:R22)</f>
        <v>0</v>
      </c>
      <c r="I13" s="4">
        <f t="shared" si="2"/>
        <v>10</v>
      </c>
    </row>
    <row r="14" spans="1:9" ht="16" x14ac:dyDescent="0.2">
      <c r="A14" s="3" t="s">
        <v>141</v>
      </c>
      <c r="B14" s="3" t="s">
        <v>138</v>
      </c>
      <c r="C14" s="3" t="s">
        <v>18</v>
      </c>
      <c r="D14" s="4">
        <f>AVERAGE('Student Coded'!S2:S22)</f>
        <v>4.333333333333333</v>
      </c>
      <c r="E14" s="4">
        <f>AVERAGE('Trainer Coded'!P2)</f>
        <v>5</v>
      </c>
      <c r="F14" s="4">
        <f t="shared" si="0"/>
        <v>-0.66666666666666696</v>
      </c>
      <c r="G14" s="4">
        <f t="shared" si="1"/>
        <v>0.66666666666666696</v>
      </c>
      <c r="H14" s="4">
        <f>COUNTBLANK('Student Coded'!S2:S22)</f>
        <v>0</v>
      </c>
      <c r="I14" s="4">
        <f t="shared" si="2"/>
        <v>14</v>
      </c>
    </row>
    <row r="15" spans="1:9" ht="32" x14ac:dyDescent="0.2">
      <c r="A15" s="3" t="s">
        <v>142</v>
      </c>
      <c r="B15" s="3" t="s">
        <v>143</v>
      </c>
      <c r="C15" s="3" t="s">
        <v>19</v>
      </c>
      <c r="D15" s="4">
        <f>AVERAGE('Student Coded'!T2:T22)</f>
        <v>4.3809523809523814</v>
      </c>
      <c r="E15" s="4">
        <f>AVERAGE('Trainer Coded'!Q2)</f>
        <v>5</v>
      </c>
      <c r="F15" s="4">
        <f t="shared" si="0"/>
        <v>-0.61904761904761862</v>
      </c>
      <c r="G15" s="4">
        <f t="shared" si="1"/>
        <v>0.61904761904761862</v>
      </c>
      <c r="H15" s="4">
        <f>COUNTBLANK('Student Coded'!T2:T22)</f>
        <v>0</v>
      </c>
      <c r="I15" s="4">
        <f t="shared" si="2"/>
        <v>17</v>
      </c>
    </row>
    <row r="16" spans="1:9" ht="32" x14ac:dyDescent="0.2">
      <c r="A16" s="3" t="s">
        <v>144</v>
      </c>
      <c r="B16" s="3" t="s">
        <v>143</v>
      </c>
      <c r="C16" s="3" t="s">
        <v>20</v>
      </c>
      <c r="D16" s="4">
        <f>AVERAGE('Student Coded'!U2:U22)</f>
        <v>4.333333333333333</v>
      </c>
      <c r="E16" s="4">
        <f>AVERAGE('Trainer Coded'!R2)</f>
        <v>5</v>
      </c>
      <c r="F16" s="4">
        <f t="shared" si="0"/>
        <v>-0.66666666666666696</v>
      </c>
      <c r="G16" s="4">
        <f t="shared" si="1"/>
        <v>0.66666666666666696</v>
      </c>
      <c r="H16" s="4">
        <f>COUNTBLANK('Student Coded'!U2:U22)</f>
        <v>0</v>
      </c>
      <c r="I16" s="4">
        <f t="shared" si="2"/>
        <v>14</v>
      </c>
    </row>
    <row r="17" spans="1:9" ht="32" x14ac:dyDescent="0.2">
      <c r="A17" s="3" t="s">
        <v>145</v>
      </c>
      <c r="B17" s="3" t="s">
        <v>143</v>
      </c>
      <c r="C17" s="3" t="s">
        <v>21</v>
      </c>
      <c r="D17" s="4">
        <f>AVERAGE('Student Coded'!V2:V22)</f>
        <v>4.3</v>
      </c>
      <c r="E17" s="4">
        <f>AVERAGE('Trainer Coded'!S2)</f>
        <v>5</v>
      </c>
      <c r="F17" s="4">
        <f t="shared" si="0"/>
        <v>-0.70000000000000018</v>
      </c>
      <c r="G17" s="4">
        <f t="shared" si="1"/>
        <v>0.70000000000000018</v>
      </c>
      <c r="H17" s="4">
        <f>COUNTBLANK('Student Coded'!V2:V22)</f>
        <v>1</v>
      </c>
      <c r="I17" s="4">
        <f t="shared" si="2"/>
        <v>13</v>
      </c>
    </row>
    <row r="18" spans="1:9" ht="32" x14ac:dyDescent="0.2">
      <c r="A18" s="3" t="s">
        <v>146</v>
      </c>
      <c r="B18" s="3" t="s">
        <v>143</v>
      </c>
      <c r="C18" s="3" t="s">
        <v>22</v>
      </c>
      <c r="D18" s="4">
        <f>AVERAGE('Student Coded'!W2:W22)</f>
        <v>4.2380952380952381</v>
      </c>
      <c r="E18" s="4">
        <f>AVERAGE('Trainer Coded'!T2)</f>
        <v>5</v>
      </c>
      <c r="F18" s="4">
        <f t="shared" si="0"/>
        <v>-0.76190476190476186</v>
      </c>
      <c r="G18" s="4">
        <f t="shared" si="1"/>
        <v>0.76190476190476186</v>
      </c>
      <c r="H18" s="4">
        <f>COUNTBLANK('Student Coded'!W2:W22)</f>
        <v>0</v>
      </c>
      <c r="I18" s="4">
        <f t="shared" si="2"/>
        <v>7</v>
      </c>
    </row>
    <row r="19" spans="1:9" ht="16" x14ac:dyDescent="0.2">
      <c r="A19" s="3" t="s">
        <v>147</v>
      </c>
      <c r="B19" s="3" t="s">
        <v>148</v>
      </c>
      <c r="C19" s="3" t="s">
        <v>23</v>
      </c>
      <c r="D19" s="4">
        <f>AVERAGE('Student Coded'!X2:X22)</f>
        <v>4.1428571428571432</v>
      </c>
      <c r="E19" s="4">
        <f>AVERAGE('Trainer Coded'!U2)</f>
        <v>5</v>
      </c>
      <c r="F19" s="4">
        <f t="shared" si="0"/>
        <v>-0.85714285714285676</v>
      </c>
      <c r="G19" s="4">
        <f t="shared" si="1"/>
        <v>0.85714285714285676</v>
      </c>
      <c r="H19" s="4">
        <f>COUNTBLANK('Student Coded'!X2:X22)</f>
        <v>0</v>
      </c>
      <c r="I19" s="4">
        <f t="shared" si="2"/>
        <v>4</v>
      </c>
    </row>
    <row r="20" spans="1:9" ht="32" x14ac:dyDescent="0.2">
      <c r="A20" s="3" t="s">
        <v>149</v>
      </c>
      <c r="B20" s="3" t="s">
        <v>148</v>
      </c>
      <c r="C20" s="3" t="s">
        <v>24</v>
      </c>
      <c r="D20" s="4">
        <f>AVERAGE('Student Coded'!Y2:Y22)</f>
        <v>4.2380952380952381</v>
      </c>
      <c r="E20" s="4">
        <f>AVERAGE('Trainer Coded'!V2)</f>
        <v>5</v>
      </c>
      <c r="F20" s="4">
        <f t="shared" si="0"/>
        <v>-0.76190476190476186</v>
      </c>
      <c r="G20" s="4">
        <f t="shared" si="1"/>
        <v>0.76190476190476186</v>
      </c>
      <c r="H20" s="4">
        <f>COUNTBLANK('Student Coded'!Y2:Y22)</f>
        <v>0</v>
      </c>
      <c r="I20" s="4">
        <f t="shared" si="2"/>
        <v>7</v>
      </c>
    </row>
    <row r="21" spans="1:9" ht="32" x14ac:dyDescent="0.2">
      <c r="A21" s="3" t="s">
        <v>150</v>
      </c>
      <c r="B21" s="3" t="s">
        <v>148</v>
      </c>
      <c r="C21" s="3" t="s">
        <v>25</v>
      </c>
      <c r="D21" s="4">
        <f>AVERAGE('Student Coded'!Z2:Z22)</f>
        <v>4.0952380952380949</v>
      </c>
      <c r="E21" s="4">
        <f>AVERAGE('Trainer Coded'!W2)</f>
        <v>5</v>
      </c>
      <c r="F21" s="4">
        <f t="shared" si="0"/>
        <v>-0.9047619047619051</v>
      </c>
      <c r="G21" s="4">
        <f t="shared" si="1"/>
        <v>0.9047619047619051</v>
      </c>
      <c r="H21" s="4">
        <f>COUNTBLANK('Student Coded'!Z2:Z22)</f>
        <v>0</v>
      </c>
      <c r="I21" s="4">
        <f t="shared" si="2"/>
        <v>2</v>
      </c>
    </row>
  </sheetData>
  <autoFilter ref="A1:I21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zoomScaleNormal="100" workbookViewId="0">
      <pane ySplit="1" topLeftCell="A2" activePane="bottomLeft" state="frozen"/>
      <selection pane="bottomLeft" activeCell="F10" sqref="F10"/>
    </sheetView>
  </sheetViews>
  <sheetFormatPr baseColWidth="10" defaultColWidth="8.6640625" defaultRowHeight="15" customHeight="1" x14ac:dyDescent="0.2"/>
  <cols>
    <col min="1" max="1" width="20" customWidth="1"/>
    <col min="2" max="3" width="35" customWidth="1"/>
    <col min="4" max="4" width="25" customWidth="1"/>
    <col min="5" max="5" width="14" customWidth="1"/>
    <col min="6" max="6" width="26" customWidth="1"/>
  </cols>
  <sheetData>
    <row r="1" spans="1:6" x14ac:dyDescent="0.2">
      <c r="A1" s="1" t="s">
        <v>151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125</v>
      </c>
    </row>
    <row r="2" spans="1:6" ht="16" x14ac:dyDescent="0.2">
      <c r="A2" s="3" t="s">
        <v>127</v>
      </c>
      <c r="B2" s="4">
        <f>AVERAGE('Item Analysis'!D2:D5)</f>
        <v>3.8928571428571423</v>
      </c>
      <c r="C2" s="4">
        <f>AVERAGE('Item Analysis'!E2:E5)</f>
        <v>4.75</v>
      </c>
      <c r="D2" s="4">
        <f>B2-C2</f>
        <v>-0.85714285714285765</v>
      </c>
      <c r="E2" s="4">
        <f>ABS(D2)</f>
        <v>0.85714285714285765</v>
      </c>
      <c r="F2" s="4">
        <f>_xlfn.RANK.EQ(D2,$D$2:$D$6,1)</f>
        <v>1</v>
      </c>
    </row>
    <row r="3" spans="1:6" ht="16" x14ac:dyDescent="0.2">
      <c r="A3" s="3" t="s">
        <v>133</v>
      </c>
      <c r="B3" s="4">
        <f>AVERAGE('Item Analysis'!D7:D10)</f>
        <v>4.1666666666666661</v>
      </c>
      <c r="C3" s="4">
        <f>AVERAGE('Item Analysis'!E7:E10)</f>
        <v>4.25</v>
      </c>
      <c r="D3" s="4">
        <f>B3-C3</f>
        <v>-8.3333333333333925E-2</v>
      </c>
      <c r="E3" s="4">
        <f>ABS(D3)</f>
        <v>8.3333333333333925E-2</v>
      </c>
      <c r="F3" s="4">
        <f t="shared" ref="F3:F6" si="0">_xlfn.RANK.EQ(D3,$D$2:$D$6,1)</f>
        <v>5</v>
      </c>
    </row>
    <row r="4" spans="1:6" ht="16" x14ac:dyDescent="0.2">
      <c r="A4" s="3" t="s">
        <v>138</v>
      </c>
      <c r="B4" s="4">
        <f>AVERAGE('Item Analysis'!D11:D14)</f>
        <v>4.2738095238095237</v>
      </c>
      <c r="C4" s="4">
        <f>AVERAGE('Item Analysis'!E11:E14)</f>
        <v>5</v>
      </c>
      <c r="D4" s="4">
        <f>B4-C4</f>
        <v>-0.72619047619047628</v>
      </c>
      <c r="E4" s="4">
        <f>ABS(D4)</f>
        <v>0.72619047619047628</v>
      </c>
      <c r="F4" s="4">
        <f t="shared" si="0"/>
        <v>3</v>
      </c>
    </row>
    <row r="5" spans="1:6" ht="16" x14ac:dyDescent="0.2">
      <c r="A5" s="3" t="s">
        <v>143</v>
      </c>
      <c r="B5" s="4">
        <f>AVERAGE('Item Analysis'!D15:D18)</f>
        <v>4.3130952380952383</v>
      </c>
      <c r="C5" s="4">
        <f>AVERAGE('Item Analysis'!E15:E18)</f>
        <v>5</v>
      </c>
      <c r="D5" s="4">
        <f>B5-C5</f>
        <v>-0.68690476190476168</v>
      </c>
      <c r="E5" s="4">
        <f>ABS(D5)</f>
        <v>0.68690476190476168</v>
      </c>
      <c r="F5" s="4">
        <f t="shared" si="0"/>
        <v>4</v>
      </c>
    </row>
    <row r="6" spans="1:6" ht="16" x14ac:dyDescent="0.2">
      <c r="A6" s="3" t="s">
        <v>148</v>
      </c>
      <c r="B6" s="4">
        <f>AVERAGE('Item Analysis'!D19:D21)</f>
        <v>4.1587301587301591</v>
      </c>
      <c r="C6" s="4">
        <f>AVERAGE('Item Analysis'!E19:E21)</f>
        <v>5</v>
      </c>
      <c r="D6" s="4">
        <f>B6-C6</f>
        <v>-0.84126984126984095</v>
      </c>
      <c r="E6" s="4">
        <f>ABS(D6)</f>
        <v>0.84126984126984095</v>
      </c>
      <c r="F6" s="4">
        <f t="shared" si="0"/>
        <v>2</v>
      </c>
    </row>
  </sheetData>
  <autoFilter ref="A1:F6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customHeight="1" x14ac:dyDescent="0.2"/>
  <cols>
    <col min="1" max="2" width="41" customWidth="1"/>
  </cols>
  <sheetData>
    <row r="1" spans="1:2" x14ac:dyDescent="0.2">
      <c r="A1" s="1" t="s">
        <v>152</v>
      </c>
      <c r="B1" s="1" t="s">
        <v>153</v>
      </c>
    </row>
    <row r="2" spans="1:2" x14ac:dyDescent="0.2">
      <c r="A2" s="3" t="s">
        <v>154</v>
      </c>
      <c r="B2" s="4">
        <f>AVERAGE('Item Analysis'!D2:D21)</f>
        <v>4.1245238095238097</v>
      </c>
    </row>
    <row r="3" spans="1:2" x14ac:dyDescent="0.2">
      <c r="A3" s="3" t="s">
        <v>155</v>
      </c>
      <c r="B3" s="4">
        <f>AVERAGE('Item Analysis'!E2:E21)</f>
        <v>4.75</v>
      </c>
    </row>
    <row r="4" spans="1:2" x14ac:dyDescent="0.2">
      <c r="A4" s="3" t="s">
        <v>156</v>
      </c>
      <c r="B4" s="4">
        <f>B2-B3</f>
        <v>-0.6254761904761903</v>
      </c>
    </row>
    <row r="5" spans="1:2" x14ac:dyDescent="0.2">
      <c r="A5" s="3" t="s">
        <v>157</v>
      </c>
      <c r="B5" s="4">
        <f>COUNTA('Student Raw Data'!A2:A1048576)</f>
        <v>21</v>
      </c>
    </row>
    <row r="6" spans="1:2" x14ac:dyDescent="0.2">
      <c r="A6" s="3" t="s">
        <v>158</v>
      </c>
      <c r="B6" s="4">
        <f>COUNTA('Trainer Raw Data'!A2:A1048576)</f>
        <v>1</v>
      </c>
    </row>
    <row r="7" spans="1:2" x14ac:dyDescent="0.2">
      <c r="A7" s="3" t="s">
        <v>159</v>
      </c>
      <c r="B7" s="4">
        <f>SUM('Item Analysis'!H2:H21)</f>
        <v>1</v>
      </c>
    </row>
  </sheetData>
  <autoFilter ref="A1:B7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6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customHeight="1" x14ac:dyDescent="0.2"/>
  <cols>
    <col min="1" max="1" width="55" customWidth="1"/>
    <col min="2" max="2" width="24" customWidth="1"/>
    <col min="3" max="3" width="43" customWidth="1"/>
  </cols>
  <sheetData>
    <row r="1" spans="1:3" x14ac:dyDescent="0.2">
      <c r="A1" s="1" t="s">
        <v>160</v>
      </c>
      <c r="B1" s="1" t="s">
        <v>161</v>
      </c>
      <c r="C1" s="1" t="s">
        <v>162</v>
      </c>
    </row>
    <row r="2" spans="1:3" x14ac:dyDescent="0.2">
      <c r="A2" s="3" t="s">
        <v>2</v>
      </c>
      <c r="B2" s="3" t="s">
        <v>33</v>
      </c>
      <c r="C2" s="3">
        <f>COUNTIF('Student Raw Data'!C$2:C$22,B2)</f>
        <v>15</v>
      </c>
    </row>
    <row r="3" spans="1:3" x14ac:dyDescent="0.2">
      <c r="A3" s="3" t="s">
        <v>2</v>
      </c>
      <c r="B3" s="3" t="s">
        <v>42</v>
      </c>
      <c r="C3" s="3">
        <f>COUNTIF('Student Raw Data'!C$2:C$22,B3)</f>
        <v>6</v>
      </c>
    </row>
    <row r="4" spans="1:3" x14ac:dyDescent="0.2">
      <c r="A4" s="3" t="s">
        <v>3</v>
      </c>
      <c r="B4" s="3" t="s">
        <v>34</v>
      </c>
      <c r="C4" s="3">
        <f>COUNTIF('Student Raw Data'!D$2:D$22,B4)</f>
        <v>5</v>
      </c>
    </row>
    <row r="5" spans="1:3" x14ac:dyDescent="0.2">
      <c r="A5" s="3" t="s">
        <v>3</v>
      </c>
      <c r="B5" s="3" t="s">
        <v>51</v>
      </c>
      <c r="C5" s="3">
        <f>COUNTIF('Student Raw Data'!D$2:D$22,B5)</f>
        <v>4</v>
      </c>
    </row>
    <row r="6" spans="1:3" x14ac:dyDescent="0.2">
      <c r="A6" s="3" t="s">
        <v>3</v>
      </c>
      <c r="B6" s="3" t="s">
        <v>56</v>
      </c>
      <c r="C6" s="3">
        <f>COUNTIF('Student Raw Data'!D$2:D$22,B6)</f>
        <v>5</v>
      </c>
    </row>
    <row r="7" spans="1:3" x14ac:dyDescent="0.2">
      <c r="A7" s="3" t="s">
        <v>3</v>
      </c>
      <c r="B7" s="3" t="s">
        <v>60</v>
      </c>
      <c r="C7" s="3">
        <f>COUNTIF('Student Raw Data'!D$2:D$22,B7)</f>
        <v>4</v>
      </c>
    </row>
    <row r="8" spans="1:3" x14ac:dyDescent="0.2">
      <c r="A8" s="3" t="s">
        <v>3</v>
      </c>
      <c r="B8" s="3" t="s">
        <v>76</v>
      </c>
      <c r="C8" s="3">
        <f>COUNTIF('Student Raw Data'!D$2:D$22,B8)</f>
        <v>3</v>
      </c>
    </row>
    <row r="9" spans="1:3" x14ac:dyDescent="0.2">
      <c r="A9" s="3" t="s">
        <v>4</v>
      </c>
      <c r="B9" s="3" t="s">
        <v>35</v>
      </c>
      <c r="C9" s="3">
        <f>COUNTIF('Student Raw Data'!E$2:E$22,B9)</f>
        <v>3</v>
      </c>
    </row>
    <row r="10" spans="1:3" x14ac:dyDescent="0.2">
      <c r="A10" s="3" t="s">
        <v>4</v>
      </c>
      <c r="B10" s="3" t="s">
        <v>52</v>
      </c>
      <c r="C10" s="3">
        <f>COUNTIF('Student Raw Data'!E$2:E$22,B10)</f>
        <v>5</v>
      </c>
    </row>
    <row r="11" spans="1:3" x14ac:dyDescent="0.2">
      <c r="A11" s="3" t="s">
        <v>4</v>
      </c>
      <c r="B11" s="3" t="s">
        <v>65</v>
      </c>
      <c r="C11" s="3">
        <f>COUNTIF('Student Raw Data'!E$2:E$22,B11)</f>
        <v>2</v>
      </c>
    </row>
    <row r="12" spans="1:3" x14ac:dyDescent="0.2">
      <c r="A12" s="3" t="s">
        <v>4</v>
      </c>
      <c r="B12" s="3" t="s">
        <v>68</v>
      </c>
      <c r="C12" s="3">
        <f>COUNTIF('Student Raw Data'!E$2:E$22,B12)</f>
        <v>6</v>
      </c>
    </row>
    <row r="13" spans="1:3" x14ac:dyDescent="0.2">
      <c r="A13" s="3" t="s">
        <v>4</v>
      </c>
      <c r="B13" s="3" t="s">
        <v>77</v>
      </c>
      <c r="C13" s="3">
        <f>COUNTIF('Student Raw Data'!E$2:E$22,B13)</f>
        <v>5</v>
      </c>
    </row>
    <row r="14" spans="1:3" x14ac:dyDescent="0.2">
      <c r="A14" s="3" t="s">
        <v>5</v>
      </c>
      <c r="B14" s="3" t="s">
        <v>36</v>
      </c>
      <c r="C14" s="3">
        <f>COUNTIF('Student Raw Data'!F$2:F$22,B14)</f>
        <v>7</v>
      </c>
    </row>
    <row r="15" spans="1:3" x14ac:dyDescent="0.2">
      <c r="A15" s="3" t="s">
        <v>5</v>
      </c>
      <c r="B15" s="3" t="s">
        <v>43</v>
      </c>
      <c r="C15" s="3">
        <f>COUNTIF('Student Raw Data'!F$2:F$22,B15)</f>
        <v>10</v>
      </c>
    </row>
    <row r="16" spans="1:3" x14ac:dyDescent="0.2">
      <c r="A16" s="3" t="s">
        <v>5</v>
      </c>
      <c r="B16" s="3" t="s">
        <v>71</v>
      </c>
      <c r="C16" s="3">
        <f>COUNTIF('Student Raw Data'!F$2:F$22,B16)</f>
        <v>4</v>
      </c>
    </row>
  </sheetData>
  <autoFilter ref="A1:C16" xr:uid="{00000000-0009-0000-0000-000007000000}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6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customHeight="1" x14ac:dyDescent="0.2"/>
  <cols>
    <col min="1" max="1" width="55" customWidth="1"/>
    <col min="2" max="2" width="19" customWidth="1"/>
    <col min="3" max="3" width="45" customWidth="1"/>
  </cols>
  <sheetData>
    <row r="1" spans="1:3" x14ac:dyDescent="0.2">
      <c r="A1" s="1" t="s">
        <v>160</v>
      </c>
      <c r="B1" s="1" t="s">
        <v>161</v>
      </c>
      <c r="C1" s="1" t="s">
        <v>162</v>
      </c>
    </row>
    <row r="2" spans="1:3" ht="16" x14ac:dyDescent="0.2">
      <c r="A2" s="3" t="s">
        <v>26</v>
      </c>
      <c r="B2" s="3">
        <v>5</v>
      </c>
      <c r="C2" s="3">
        <f>COUNTIF('Student Raw Data'!AA$2:AA$22,B2)</f>
        <v>11</v>
      </c>
    </row>
    <row r="3" spans="1:3" ht="16" x14ac:dyDescent="0.2">
      <c r="A3" s="3" t="s">
        <v>26</v>
      </c>
      <c r="B3" s="3">
        <v>4</v>
      </c>
      <c r="C3" s="3">
        <f>COUNTIF('Student Raw Data'!AA$2:AA$22,B3)</f>
        <v>3</v>
      </c>
    </row>
    <row r="4" spans="1:3" ht="16" x14ac:dyDescent="0.2">
      <c r="A4" s="3" t="s">
        <v>26</v>
      </c>
      <c r="B4" s="3">
        <v>3</v>
      </c>
      <c r="C4" s="3">
        <f>COUNTIF('Student Raw Data'!AA$2:AA$22,B4)</f>
        <v>4</v>
      </c>
    </row>
    <row r="5" spans="1:3" ht="16" x14ac:dyDescent="0.2">
      <c r="A5" s="3" t="s">
        <v>26</v>
      </c>
      <c r="B5" s="3">
        <v>1</v>
      </c>
      <c r="C5" s="3">
        <f>COUNTIF('Student Raw Data'!AA$2:AA$22,B5)</f>
        <v>1</v>
      </c>
    </row>
    <row r="6" spans="1:3" ht="16" x14ac:dyDescent="0.2">
      <c r="A6" s="3" t="s">
        <v>26</v>
      </c>
      <c r="B6" s="3">
        <v>2</v>
      </c>
      <c r="C6" s="3">
        <f>COUNTIF('Student Raw Data'!AA$2:AA$22,B6)</f>
        <v>2</v>
      </c>
    </row>
    <row r="7" spans="1:3" ht="32" x14ac:dyDescent="0.2">
      <c r="A7" s="3" t="s">
        <v>27</v>
      </c>
      <c r="B7" s="3" t="s">
        <v>37</v>
      </c>
      <c r="C7" s="3">
        <f>COUNTIF('Student Raw Data'!AB$2:AB$22,B7)</f>
        <v>6</v>
      </c>
    </row>
    <row r="8" spans="1:3" ht="32" x14ac:dyDescent="0.2">
      <c r="A8" s="3" t="s">
        <v>27</v>
      </c>
      <c r="B8" s="3" t="s">
        <v>44</v>
      </c>
      <c r="C8" s="3">
        <f>COUNTIF('Student Raw Data'!AB$2:AB$22,B8)</f>
        <v>7</v>
      </c>
    </row>
    <row r="9" spans="1:3" ht="32" x14ac:dyDescent="0.2">
      <c r="A9" s="3" t="s">
        <v>27</v>
      </c>
      <c r="B9" s="3" t="s">
        <v>45</v>
      </c>
      <c r="C9" s="3">
        <f>COUNTIF('Student Raw Data'!AB$2:AB$22,B9)</f>
        <v>5</v>
      </c>
    </row>
    <row r="10" spans="1:3" ht="32" x14ac:dyDescent="0.2">
      <c r="A10" s="3" t="s">
        <v>27</v>
      </c>
      <c r="B10" s="3" t="s">
        <v>78</v>
      </c>
      <c r="C10" s="3">
        <f>COUNTIF('Student Raw Data'!AB$2:AB$22,B10)</f>
        <v>1</v>
      </c>
    </row>
    <row r="11" spans="1:3" ht="32" x14ac:dyDescent="0.2">
      <c r="A11" s="3" t="s">
        <v>27</v>
      </c>
      <c r="B11" s="3" t="s">
        <v>66</v>
      </c>
      <c r="C11" s="3">
        <f>COUNTIF('Student Raw Data'!AB$2:AB$22,B11)</f>
        <v>1</v>
      </c>
    </row>
    <row r="12" spans="1:3" ht="32" x14ac:dyDescent="0.2">
      <c r="A12" s="3" t="s">
        <v>28</v>
      </c>
      <c r="B12" s="3" t="s">
        <v>38</v>
      </c>
      <c r="C12" s="3">
        <f>COUNTIF('Student Raw Data'!AC$2:AC$22,B12)</f>
        <v>4</v>
      </c>
    </row>
    <row r="13" spans="1:3" ht="32" x14ac:dyDescent="0.2">
      <c r="A13" s="3" t="s">
        <v>28</v>
      </c>
      <c r="B13" s="3" t="s">
        <v>47</v>
      </c>
      <c r="C13" s="3">
        <f>COUNTIF('Student Raw Data'!AC$2:AC$22,B13)</f>
        <v>7</v>
      </c>
    </row>
    <row r="14" spans="1:3" ht="32" x14ac:dyDescent="0.2">
      <c r="A14" s="3" t="s">
        <v>28</v>
      </c>
      <c r="B14" s="3" t="s">
        <v>53</v>
      </c>
      <c r="C14" s="3">
        <f>COUNTIF('Student Raw Data'!AC$2:AC$22,B14)</f>
        <v>6</v>
      </c>
    </row>
    <row r="15" spans="1:3" ht="32" x14ac:dyDescent="0.2">
      <c r="A15" s="3" t="s">
        <v>28</v>
      </c>
      <c r="B15" s="3" t="s">
        <v>79</v>
      </c>
      <c r="C15" s="3">
        <f>COUNTIF('Student Raw Data'!AC$2:AC$22,B15)</f>
        <v>2</v>
      </c>
    </row>
    <row r="16" spans="1:3" ht="32" x14ac:dyDescent="0.2">
      <c r="A16" s="3" t="s">
        <v>28</v>
      </c>
      <c r="B16" s="3" t="s">
        <v>85</v>
      </c>
      <c r="C16" s="3">
        <f>COUNTIF('Student Raw Data'!AC$2:AC$22,B16)</f>
        <v>1</v>
      </c>
    </row>
  </sheetData>
  <autoFilter ref="A1:C16" xr:uid="{00000000-0009-0000-0000-000008000000}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customHeight="1" x14ac:dyDescent="0.2"/>
  <cols>
    <col min="1" max="1" width="55" customWidth="1"/>
    <col min="2" max="2" width="51" customWidth="1"/>
  </cols>
  <sheetData>
    <row r="1" spans="1:2" x14ac:dyDescent="0.2">
      <c r="A1" s="1" t="s">
        <v>160</v>
      </c>
      <c r="B1" s="1" t="s">
        <v>161</v>
      </c>
    </row>
    <row r="2" spans="1:2" ht="32" x14ac:dyDescent="0.2">
      <c r="A2" s="3" t="s">
        <v>108</v>
      </c>
      <c r="B2" s="3" t="s">
        <v>114</v>
      </c>
    </row>
    <row r="3" spans="1:2" ht="32" x14ac:dyDescent="0.2">
      <c r="A3" s="3" t="s">
        <v>109</v>
      </c>
      <c r="B3" s="3" t="s">
        <v>115</v>
      </c>
    </row>
    <row r="4" spans="1:2" ht="32" x14ac:dyDescent="0.2">
      <c r="A4" s="3" t="s">
        <v>110</v>
      </c>
      <c r="B4" s="3"/>
    </row>
    <row r="5" spans="1:2" ht="32" x14ac:dyDescent="0.2">
      <c r="A5" s="3" t="s">
        <v>111</v>
      </c>
      <c r="B5" s="3" t="s">
        <v>116</v>
      </c>
    </row>
  </sheetData>
  <autoFilter ref="A1:B5" xr:uid="{00000000-0009-0000-0000-000009000000}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customHeight="1" x14ac:dyDescent="0.2"/>
  <cols>
    <col min="1" max="1" width="38" customWidth="1"/>
    <col min="2" max="2" width="55" customWidth="1"/>
  </cols>
  <sheetData>
    <row r="1" spans="1:2" x14ac:dyDescent="0.2">
      <c r="A1" s="1" t="s">
        <v>163</v>
      </c>
      <c r="B1" s="1" t="s">
        <v>153</v>
      </c>
    </row>
    <row r="2" spans="1:2" x14ac:dyDescent="0.2">
      <c r="A2" s="3" t="s">
        <v>164</v>
      </c>
      <c r="B2" s="3" t="str">
        <f>INDEX('Dimension Analysis'!A2:A6,MATCH(MIN('Dimension Analysis'!D2:D6),'Dimension Analysis'!D2:D6,0))&amp;" ("&amp;TEXT(MIN('Dimension Analysis'!D2:D6),"0.00")&amp;")"</f>
        <v>Tangibles (-0.86)</v>
      </c>
    </row>
    <row r="3" spans="1:2" x14ac:dyDescent="0.2">
      <c r="A3" s="3" t="s">
        <v>165</v>
      </c>
      <c r="B3" s="3" t="str">
        <f>INDEX('Dimension Analysis'!A2:A6,MATCH(MAX('Dimension Analysis'!D2:D6),'Dimension Analysis'!D2:D6,0))&amp;" ("&amp;TEXT(MAX('Dimension Analysis'!D2:D6),"0.00")&amp;")"</f>
        <v>Reliability (-0.08)</v>
      </c>
    </row>
    <row r="4" spans="1:2" x14ac:dyDescent="0.2">
      <c r="A4" s="3" t="s">
        <v>166</v>
      </c>
      <c r="B4" s="4">
        <f>'Overall Results'!B4</f>
        <v>-0.6254761904761903</v>
      </c>
    </row>
    <row r="5" spans="1:2" x14ac:dyDescent="0.2">
      <c r="A5" s="3" t="s">
        <v>167</v>
      </c>
      <c r="B5" s="3" t="str">
        <f>INDEX('Dimension Analysis'!A2:A6,MATCH(MAX('Dimension Analysis'!B2:B6),'Dimension Analysis'!B2:B6,0))&amp;" ("&amp;TEXT(MAX('Dimension Analysis'!B2:B6),"0.00")&amp;")"</f>
        <v>Assurance (4.31)</v>
      </c>
    </row>
    <row r="6" spans="1:2" x14ac:dyDescent="0.2">
      <c r="A6" s="3" t="s">
        <v>168</v>
      </c>
      <c r="B6" s="3" t="str">
        <f>INDEX('Dimension Analysis'!A2:A6,MATCH(MIN('Dimension Analysis'!B2:B6),'Dimension Analysis'!B2:B6,0))&amp;" ("&amp;TEXT(MIN('Dimension Analysis'!B2:B6),"0.00")&amp;")"</f>
        <v>Tangibles (3.89)</v>
      </c>
    </row>
    <row r="7" spans="1:2" x14ac:dyDescent="0.2">
      <c r="A7" s="3" t="s">
        <v>169</v>
      </c>
      <c r="B7" s="3" t="str">
        <f>INDEX('Item Analysis'!A2:A21,MATCH(MIN('Item Analysis'!F2:F21),'Item Analysis'!F2:F21,0))&amp;" ("&amp;TEXT(MIN('Item Analysis'!F2:F21),"0.00")&amp;")"</f>
        <v>T1 (-1.19)</v>
      </c>
    </row>
  </sheetData>
  <autoFilter ref="A1:B7" xr:uid="{00000000-0009-0000-0000-00000A000000}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8"/>
  <sheetViews>
    <sheetView zoomScaleNormal="100" workbookViewId="0"/>
  </sheetViews>
  <sheetFormatPr baseColWidth="10" defaultColWidth="8.6640625" defaultRowHeight="15" customHeight="1" x14ac:dyDescent="0.2"/>
  <cols>
    <col min="1" max="1" width="15.33203125" bestFit="1" customWidth="1"/>
    <col min="2" max="2" width="65.6640625" bestFit="1" customWidth="1"/>
  </cols>
  <sheetData>
    <row r="1" spans="1:2" x14ac:dyDescent="0.2">
      <c r="A1" t="s">
        <v>170</v>
      </c>
      <c r="B1" t="s">
        <v>171</v>
      </c>
    </row>
    <row r="2" spans="1:2" x14ac:dyDescent="0.2">
      <c r="A2" t="s">
        <v>172</v>
      </c>
      <c r="B2" t="s">
        <v>173</v>
      </c>
    </row>
    <row r="3" spans="1:2" x14ac:dyDescent="0.2">
      <c r="A3" t="s">
        <v>174</v>
      </c>
      <c r="B3" t="s">
        <v>175</v>
      </c>
    </row>
    <row r="4" spans="1:2" x14ac:dyDescent="0.2">
      <c r="A4" t="s">
        <v>176</v>
      </c>
      <c r="B4" t="s">
        <v>177</v>
      </c>
    </row>
    <row r="5" spans="1:2" x14ac:dyDescent="0.2">
      <c r="A5" t="s">
        <v>178</v>
      </c>
      <c r="B5" t="s">
        <v>179</v>
      </c>
    </row>
    <row r="6" spans="1:2" x14ac:dyDescent="0.2">
      <c r="A6" t="s">
        <v>180</v>
      </c>
      <c r="B6" t="s">
        <v>181</v>
      </c>
    </row>
    <row r="7" spans="1:2" x14ac:dyDescent="0.2">
      <c r="A7" t="s">
        <v>182</v>
      </c>
      <c r="B7" t="s">
        <v>183</v>
      </c>
    </row>
    <row r="8" spans="1:2" x14ac:dyDescent="0.2">
      <c r="A8" t="s">
        <v>184</v>
      </c>
      <c r="B8" t="s">
        <v>185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Student Raw Data</vt:lpstr>
      <vt:lpstr>Trainer Raw Data</vt:lpstr>
      <vt:lpstr>Student Coded</vt:lpstr>
      <vt:lpstr>Trainer Coded</vt:lpstr>
      <vt:lpstr>Item Analysis</vt:lpstr>
      <vt:lpstr>Dimension Analysis</vt:lpstr>
      <vt:lpstr>Overall Results</vt:lpstr>
      <vt:lpstr>Student Profile</vt:lpstr>
      <vt:lpstr>Overall Experience</vt:lpstr>
      <vt:lpstr>Trainer Qualitative</vt:lpstr>
      <vt:lpstr>Key Findings</vt:lpstr>
      <vt:lpstr>Formula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Omdeep chaudhary</cp:lastModifiedBy>
  <dcterms:created xsi:type="dcterms:W3CDTF">2026-09-13T11:28:53Z</dcterms:created>
  <dcterms:modified xsi:type="dcterms:W3CDTF">2026-09-13T11:28:53Z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2026-09-13T11:15:53Z</dcterms:created>
  <dc:creator>openpyxl</dc:creator>
  <dc:description/>
  <dc:language>en-US</dc:language>
  <cp:lastModifiedBy/>
  <dcterms:modified xsi:type="dcterms:W3CDTF">2026-09-13T11:24:36Z</dcterms:modified>
  <cp:revision>0</cp:revision>
  <dc:subject/>
  <dc:title/>
</cp:coreProperties>
</file>